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50\h_hp\Desktop\Master EXCEL\"/>
    </mc:Choice>
  </mc:AlternateContent>
  <xr:revisionPtr revIDLastSave="0" documentId="8_{DDF999A2-55DC-4CDC-8E24-1F99DF86293A}" xr6:coauthVersionLast="47" xr6:coauthVersionMax="47" xr10:uidLastSave="{00000000-0000-0000-0000-000000000000}"/>
  <bookViews>
    <workbookView xWindow="-108" yWindow="492" windowWidth="46296" windowHeight="24816" firstSheet="2" activeTab="6" xr2:uid="{F5C84AE9-1FC5-4B46-B882-2AB24BCE8597}"/>
  </bookViews>
  <sheets>
    <sheet name="J-M-FW Diagnostic" sheetId="1" r:id="rId1"/>
    <sheet name="Scenario Scorer" sheetId="2" r:id="rId2"/>
    <sheet name="Reciprocity Test" sheetId="3" r:id="rId3"/>
    <sheet name="Coherence Index" sheetId="4" r:id="rId4"/>
    <sheet name="Historical χ Scorer" sheetId="9" r:id="rId5"/>
    <sheet name="Convergence Map" sheetId="10" r:id="rId6"/>
    <sheet name="5-Variable Instrument" sheetId="11" r:id="rId7"/>
    <sheet name="Historical Baseline" sheetId="5" r:id="rId8"/>
    <sheet name="α Resolver" sheetId="6" r:id="rId9"/>
    <sheet name="Canonical Equations" sheetId="7" r:id="rId10"/>
    <sheet name="Impossibility Proof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2" i="9" l="1"/>
  <c r="Q31" i="9"/>
  <c r="Q30" i="9"/>
  <c r="Q29" i="9"/>
  <c r="Q28" i="9"/>
  <c r="Q27" i="9"/>
  <c r="Q26" i="9"/>
  <c r="Q25" i="9"/>
  <c r="Q24" i="9"/>
  <c r="Q23" i="9"/>
  <c r="P32" i="9"/>
  <c r="P31" i="9"/>
  <c r="P30" i="9"/>
  <c r="P29" i="9"/>
  <c r="P28" i="9"/>
  <c r="P27" i="9"/>
  <c r="P26" i="9"/>
  <c r="P25" i="9"/>
  <c r="P24" i="9"/>
  <c r="P23" i="9"/>
  <c r="N32" i="9"/>
  <c r="M32" i="9"/>
  <c r="O32" i="9" s="1"/>
  <c r="N31" i="9"/>
  <c r="M31" i="9"/>
  <c r="O31" i="9" s="1"/>
  <c r="O30" i="9"/>
  <c r="N30" i="9"/>
  <c r="M30" i="9"/>
  <c r="N29" i="9"/>
  <c r="M29" i="9"/>
  <c r="O29" i="9" s="1"/>
  <c r="O28" i="9"/>
  <c r="N28" i="9"/>
  <c r="M28" i="9"/>
  <c r="N27" i="9"/>
  <c r="M27" i="9"/>
  <c r="O27" i="9" s="1"/>
  <c r="N26" i="9"/>
  <c r="M26" i="9"/>
  <c r="O26" i="9" s="1"/>
  <c r="N25" i="9"/>
  <c r="M25" i="9"/>
  <c r="O25" i="9" s="1"/>
  <c r="O24" i="9"/>
  <c r="N24" i="9"/>
  <c r="M24" i="9"/>
  <c r="O23" i="9"/>
  <c r="N23" i="9"/>
  <c r="M23" i="9"/>
  <c r="B45" i="8"/>
  <c r="B44" i="8"/>
  <c r="B41" i="8"/>
  <c r="B46" i="8" s="1"/>
  <c r="C32" i="6"/>
  <c r="C38" i="6" s="1"/>
  <c r="C39" i="6"/>
  <c r="C33" i="6"/>
  <c r="C31" i="6"/>
  <c r="C37" i="6" s="1"/>
  <c r="G19" i="5"/>
  <c r="G18" i="5"/>
  <c r="G17" i="5"/>
  <c r="G16" i="5"/>
  <c r="G15" i="5"/>
  <c r="G12" i="5"/>
  <c r="G11" i="5"/>
  <c r="G10" i="5"/>
  <c r="G9" i="5"/>
  <c r="G8" i="5"/>
  <c r="E24" i="4"/>
  <c r="E23" i="4"/>
  <c r="E22" i="4"/>
  <c r="E21" i="4"/>
  <c r="E20" i="4"/>
  <c r="D25" i="4"/>
  <c r="C25" i="4"/>
  <c r="E16" i="4"/>
  <c r="E15" i="4"/>
  <c r="E14" i="4"/>
  <c r="E13" i="4"/>
  <c r="E12" i="4"/>
  <c r="D17" i="4"/>
  <c r="D34" i="4" s="1"/>
  <c r="C17" i="4"/>
  <c r="E17" i="4" s="1"/>
  <c r="K16" i="3"/>
  <c r="J16" i="3"/>
  <c r="K15" i="3"/>
  <c r="J15" i="3"/>
  <c r="J14" i="3"/>
  <c r="K14" i="3" s="1"/>
  <c r="J13" i="3"/>
  <c r="K13" i="3" s="1"/>
  <c r="J12" i="3"/>
  <c r="K12" i="3" s="1"/>
  <c r="J11" i="3"/>
  <c r="K11" i="3" s="1"/>
  <c r="J10" i="3"/>
  <c r="K10" i="3" s="1"/>
  <c r="J9" i="3"/>
  <c r="K9" i="3" s="1"/>
  <c r="J8" i="3"/>
  <c r="K8" i="3" s="1"/>
  <c r="J7" i="3"/>
  <c r="K7" i="3" s="1"/>
  <c r="N15" i="2"/>
  <c r="O15" i="2" s="1"/>
  <c r="N14" i="2"/>
  <c r="O14" i="2" s="1"/>
  <c r="N13" i="2"/>
  <c r="O13" i="2" s="1"/>
  <c r="N12" i="2"/>
  <c r="O12" i="2" s="1"/>
  <c r="N11" i="2"/>
  <c r="O11" i="2" s="1"/>
  <c r="N10" i="2"/>
  <c r="O10" i="2" s="1"/>
  <c r="N9" i="2"/>
  <c r="O9" i="2" s="1"/>
  <c r="N8" i="2"/>
  <c r="O8" i="2" s="1"/>
  <c r="N7" i="2"/>
  <c r="O7" i="2" s="1"/>
  <c r="N6" i="2"/>
  <c r="O6" i="2" s="1"/>
  <c r="E45" i="1"/>
  <c r="E58" i="1" s="1"/>
  <c r="D45" i="1"/>
  <c r="D58" i="1" s="1"/>
  <c r="C45" i="1"/>
  <c r="C58" i="1" s="1"/>
  <c r="B45" i="1"/>
  <c r="B58" i="1" s="1"/>
  <c r="E40" i="1"/>
  <c r="E57" i="1" s="1"/>
  <c r="D40" i="1"/>
  <c r="D57" i="1" s="1"/>
  <c r="C40" i="1"/>
  <c r="C57" i="1" s="1"/>
  <c r="B40" i="1"/>
  <c r="B57" i="1" s="1"/>
  <c r="E35" i="1"/>
  <c r="E56" i="1" s="1"/>
  <c r="D35" i="1"/>
  <c r="D56" i="1" s="1"/>
  <c r="C35" i="1"/>
  <c r="B35" i="1"/>
  <c r="B56" i="1" s="1"/>
  <c r="E25" i="4" l="1"/>
  <c r="B42" i="8"/>
  <c r="D32" i="4"/>
  <c r="D30" i="4"/>
  <c r="D42" i="4" s="1"/>
  <c r="C32" i="4"/>
  <c r="E32" i="4" s="1"/>
  <c r="C30" i="4"/>
  <c r="C34" i="4"/>
  <c r="E30" i="4"/>
  <c r="F58" i="1"/>
  <c r="F63" i="1"/>
  <c r="C48" i="1"/>
  <c r="F61" i="1"/>
  <c r="F57" i="1"/>
  <c r="F62" i="1"/>
  <c r="B48" i="1"/>
  <c r="D48" i="1"/>
  <c r="E48" i="1"/>
  <c r="B49" i="1"/>
  <c r="C49" i="1"/>
  <c r="E49" i="1"/>
  <c r="D49" i="1"/>
  <c r="C56" i="1"/>
  <c r="F56" i="1" s="1"/>
  <c r="F64" i="1" l="1"/>
  <c r="B69" i="1" s="1"/>
  <c r="B76" i="1"/>
  <c r="B6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</author>
  </authors>
  <commentList>
    <comment ref="A61" authorId="0" shapeId="0" xr:uid="{65B6AF6A-F433-4036-BEF6-2E683AB56526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Positive = demands more justice as social distance increases. Negative = demands more justice locally.</t>
        </r>
      </text>
    </comment>
    <comment ref="A62" authorId="0" shapeId="0" xr:uid="{110B158E-A10F-4704-90F2-E68A2A6885A8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Negative = expects more mercy locally than systemically. This is normal. Positive = expects more mercy from strangers than family (incoherent).</t>
        </r>
      </text>
    </comment>
    <comment ref="A63" authorId="0" shapeId="0" xr:uid="{312F8344-18FE-4A08-8668-D339CB41B846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Positive = claims more free will at scale than locally. Measures whether you demand freedoms from the system you don't grant at home.</t>
        </r>
      </text>
    </comment>
    <comment ref="A64" authorId="0" shapeId="0" xr:uid="{98FB059E-5B67-47EB-98F3-1489292CDD78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Core Law 5 metric. High score = demanding justice from far away while consuming mercy up close and exercising maximum free will everywhere. The cost is being pushed onto strangers.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</author>
  </authors>
  <commentList>
    <comment ref="L23" authorId="0" shapeId="0" xr:uid="{13178F8D-27AF-40BF-96F2-459D9F7448FB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V_phys: Imperial scale, multi-century institutional durability, entire Mediterranean exposure</t>
        </r>
      </text>
    </comment>
    <comment ref="L24" authorId="0" shapeId="0" xr:uid="{071702D8-545A-4145-883D-600858115D16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V_phys: Civilization-scale, permanent technology, entire literate world exposed within a century</t>
        </r>
      </text>
    </comment>
    <comment ref="L25" authorId="0" shapeId="0" xr:uid="{D2C04099-1A6B-476F-9D96-43197FB74096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V_phys: National scale, 4M people freed, multi-generation durability, but incomplete Reconstruction</t>
        </r>
      </text>
    </comment>
    <comment ref="L26" authorId="0" shapeId="0" xr:uid="{D422CBD6-3AFE-44B8-8C7C-E96317D60C55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V_phys: Maximum. Entire city destroyed instantly, radiation multi-generational, global precedent set</t>
        </r>
      </text>
    </comment>
    <comment ref="L27" authorId="0" shapeId="0" xr:uid="{CFC62938-F9B1-420A-A933-5A46CF946924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V_phys: National scale, multi-decade institutional persistence, hundreds of millions affected</t>
        </r>
      </text>
    </comment>
    <comment ref="L28" authorId="0" shapeId="0" xr:uid="{2BDA4D05-8505-4973-8BF5-3D5B50BCB2DA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V_phys: National scale (800M+), decade-long, generational cultural destruction, institutional erasure</t>
        </r>
      </text>
    </comment>
    <comment ref="L29" authorId="0" shapeId="0" xr:uid="{8A5A3AD1-0F0C-4C4A-B529-59AFED08F346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V_phys: European civilization scale, centuries of downstream effect, but wars and fragmentation reduce it from 10</t>
        </r>
      </text>
    </comment>
    <comment ref="L30" authorId="0" shapeId="0" xr:uid="{7221A990-569F-4A75-A647-AC5B3467939C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V_phys: Global scale, but short duration and partial reversibility</t>
        </r>
      </text>
    </comment>
    <comment ref="L31" authorId="0" shapeId="0" xr:uid="{99CAD4AB-8340-4904-8595-AA1CDAE28543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V_phys: Empire-wide, multi-decade enforcement cost, global cascade effect through naval enforcement</t>
        </r>
      </text>
    </comment>
    <comment ref="L32" authorId="0" shapeId="0" xr:uid="{BF075468-DEA4-4EEC-A21F-03ADE7BC6ADD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V_phys: Global, billions of users, continuous exposure, permanent infrastructure</t>
        </r>
      </text>
    </comment>
  </commentList>
</comments>
</file>

<file path=xl/sharedStrings.xml><?xml version="1.0" encoding="utf-8"?>
<sst xmlns="http://schemas.openxmlformats.org/spreadsheetml/2006/main" count="908" uniqueCount="812">
  <si>
    <t>JUSTICE – MERCY – FREE WILL  COHERENCE DIAGNOSTIC</t>
  </si>
  <si>
    <t>Law 5 Social-Radius Scoring Engine</t>
  </si>
  <si>
    <t>HOW TO USE</t>
  </si>
  <si>
    <t>1. Pick an issue (e.g., Immigration, Abortion, Gun Control, Criminal Sentencing)</t>
  </si>
  <si>
    <t>2. For each Social Radius (Family → Federal), answer the 3 binary sub-questions for Justice, Mercy, and Free Will</t>
  </si>
  <si>
    <t>3. Enter 1 (Yes) or 0 (No) in the yellow input cells. Scores and coherence calculate automatically.</t>
  </si>
  <si>
    <t>4. The Coherence Verdict at the bottom tells you whether the position is internally consistent across social distance.</t>
  </si>
  <si>
    <t>ISSUE BEING SCORED:</t>
  </si>
  <si>
    <t>(Type issue name here)</t>
  </si>
  <si>
    <t>JUSTICE SUB-QUESTIONS</t>
  </si>
  <si>
    <t>J1: Is there an identifiable harm or offense?</t>
  </si>
  <si>
    <t>J2: Is there an identifiable victim or class of victims?</t>
  </si>
  <si>
    <t>J3: Does someone have to pay a measurable cost to resolve it?</t>
  </si>
  <si>
    <t>MERCY SUB-QUESTIONS</t>
  </si>
  <si>
    <t>M1: Does the offender lack capacity to fully repair the damage?</t>
  </si>
  <si>
    <t>M2: Would strict proportional punishment fail to restore the victim?</t>
  </si>
  <si>
    <t>M3: Does resolution require a third party absorbing cost?</t>
  </si>
  <si>
    <t>FREE WILL SUB-QUESTIONS</t>
  </si>
  <si>
    <t>W1: Does coercing the outcome destroy its moral value?</t>
  </si>
  <si>
    <t>W2: Do reasonable people disagree on the right answer in good faith?</t>
  </si>
  <si>
    <t>W3: Does the issue involve irreducible personal conscience?</t>
  </si>
  <si>
    <t>SCORING GRID</t>
  </si>
  <si>
    <t>Enter 1 (Yes) or 0 (No) in yellow cells. Each sub-question = 1 point. Max score per variable = 3.</t>
  </si>
  <si>
    <t>FAMILY</t>
  </si>
  <si>
    <t>COMMUNITY</t>
  </si>
  <si>
    <t>STATE</t>
  </si>
  <si>
    <t>FEDERAL</t>
  </si>
  <si>
    <t>JUSTICE</t>
  </si>
  <si>
    <t xml:space="preserve">  J1: Identifiable harm?</t>
  </si>
  <si>
    <t xml:space="preserve">  J2: Identifiable victim?</t>
  </si>
  <si>
    <t xml:space="preserve">  J3: Measurable cost to resolve?</t>
  </si>
  <si>
    <t xml:space="preserve">  J SCORE</t>
  </si>
  <si>
    <t>MERCY</t>
  </si>
  <si>
    <t xml:space="preserve">  M1: Offender can't fully repair?</t>
  </si>
  <si>
    <t xml:space="preserve">  M2: Strict punishment fails to restore?</t>
  </si>
  <si>
    <t xml:space="preserve">  M3: Third party must absorb cost?</t>
  </si>
  <si>
    <t xml:space="preserve">  M SCORE</t>
  </si>
  <si>
    <t>FREE WILL</t>
  </si>
  <si>
    <t xml:space="preserve">  W1: Coercion destroys moral value?</t>
  </si>
  <si>
    <t xml:space="preserve">  W2: Good-faith disagreement exists?</t>
  </si>
  <si>
    <t xml:space="preserve">  W3: Irreducible personal conscience?</t>
  </si>
  <si>
    <t xml:space="preserve">  W SCORE</t>
  </si>
  <si>
    <t>TRILEMMA CLASSIFICATION</t>
  </si>
  <si>
    <t xml:space="preserve">  J-M-W Profile</t>
  </si>
  <si>
    <t xml:space="preserve">  Classification</t>
  </si>
  <si>
    <t>CROSS-RADIUS COHERENCE ANALYSIS</t>
  </si>
  <si>
    <t>This section detects asymmetry: demanding justice at one social distance while consuming mercy at another.</t>
  </si>
  <si>
    <t>COST-BEARING ANALYSIS</t>
  </si>
  <si>
    <t>SPREAD</t>
  </si>
  <si>
    <t xml:space="preserve">  Justice Demanded</t>
  </si>
  <si>
    <t xml:space="preserve">  Mercy Expected</t>
  </si>
  <si>
    <t xml:space="preserve">  Free Will Exercised</t>
  </si>
  <si>
    <t>ASYMMETRY DETECTORS</t>
  </si>
  <si>
    <t xml:space="preserve">  Justice Gradient (Fam→Fed)</t>
  </si>
  <si>
    <t xml:space="preserve">  Mercy Gradient (Fam→Fed)</t>
  </si>
  <si>
    <t xml:space="preserve">  Free Will Gradient (Fam→Fed)</t>
  </si>
  <si>
    <t xml:space="preserve">  Cost-Export Score</t>
  </si>
  <si>
    <t>COHERENCE VERDICT</t>
  </si>
  <si>
    <t xml:space="preserve">  Overall Coherence</t>
  </si>
  <si>
    <t xml:space="preserve">  Diagnosis</t>
  </si>
  <si>
    <t>THE CROSS PREDICTION (Falsifiable)</t>
  </si>
  <si>
    <t>If any radius scores 3-3-3 (Full Trilemma), the framework predicts:</t>
  </si>
  <si>
    <t>NO policy resolution exists that doesn't include a voluntary third-party cost-bearer.</t>
  </si>
  <si>
    <t>To falsify: find a 3-3-3 issue resolved without a third-party cost-bearer.</t>
  </si>
  <si>
    <t xml:space="preserve">  Any Full Trilemma detected?</t>
  </si>
  <si>
    <t>SCENARIO SCORER — Quick-Entry Mode</t>
  </si>
  <si>
    <t>Score any issue's J-M-W profile at each social radius. Enter scores 0–3 directly.</t>
  </si>
  <si>
    <t>COHERENCE</t>
  </si>
  <si>
    <t>ISSUE</t>
  </si>
  <si>
    <t>J</t>
  </si>
  <si>
    <t>M</t>
  </si>
  <si>
    <t>W</t>
  </si>
  <si>
    <t>Cost Export</t>
  </si>
  <si>
    <t>Verdict</t>
  </si>
  <si>
    <t>Immigration</t>
  </si>
  <si>
    <t>Abortion</t>
  </si>
  <si>
    <t>Criminal Sentencing</t>
  </si>
  <si>
    <t>Gun Control</t>
  </si>
  <si>
    <t>Healthcare Access</t>
  </si>
  <si>
    <t>Education Policy</t>
  </si>
  <si>
    <t>Drug Policy</t>
  </si>
  <si>
    <t>Homelessness</t>
  </si>
  <si>
    <t>(Your Issue)</t>
  </si>
  <si>
    <t>RECIPROCITY TEST — The Killer Diagnostic</t>
  </si>
  <si>
    <t>For every position: What do you DEMAND vs. what do you TAKE from the other side?</t>
  </si>
  <si>
    <t>If the answers are asymmetric — "I get mercy but you get justice" — the position is incoherent.</t>
  </si>
  <si>
    <t>POSITION / POLICY</t>
  </si>
  <si>
    <t>J DEMANDED</t>
  </si>
  <si>
    <t>M DEMANDED</t>
  </si>
  <si>
    <t>W DEMANDED</t>
  </si>
  <si>
    <t>J TAKEN</t>
  </si>
  <si>
    <t>M TAKEN</t>
  </si>
  <si>
    <t>W TAKEN</t>
  </si>
  <si>
    <t>BALANCE</t>
  </si>
  <si>
    <t>VERDICT</t>
  </si>
  <si>
    <t>FOR SELF</t>
  </si>
  <si>
    <t>FROM OTHER</t>
  </si>
  <si>
    <t>Unrestricted abortion access</t>
  </si>
  <si>
    <t>Total abortion ban</t>
  </si>
  <si>
    <t>Universal gun rights</t>
  </si>
  <si>
    <t>Gun prohibition</t>
  </si>
  <si>
    <t>Open borders</t>
  </si>
  <si>
    <t>Closed borders</t>
  </si>
  <si>
    <t>Universal healthcare (single payer)</t>
  </si>
  <si>
    <t>Free market healthcare only</t>
  </si>
  <si>
    <t>(Your Position)</t>
  </si>
  <si>
    <t>THE PATTERN</t>
  </si>
  <si>
    <t>Demanding one leg of the trilemma NECESSARILY takes from the other two.</t>
  </si>
  <si>
    <t>No political position scores well on all three unless it includes a voluntary cost-bearer.</t>
  </si>
  <si>
    <t>IDEOLOGICAL SIGNATURES</t>
  </si>
  <si>
    <t>Ideology</t>
  </si>
  <si>
    <t>Maximizes</t>
  </si>
  <si>
    <t>Ignores</t>
  </si>
  <si>
    <t>Result</t>
  </si>
  <si>
    <t>Left / Progressive</t>
  </si>
  <si>
    <t>Mercy</t>
  </si>
  <si>
    <t>Demands Justice pay via coercion</t>
  </si>
  <si>
    <t>Cost-bearing is compulsory, not voluntary</t>
  </si>
  <si>
    <t>Right / Conservative</t>
  </si>
  <si>
    <t>Justice</t>
  </si>
  <si>
    <t>Demands Mercy shut up about casualties</t>
  </si>
  <si>
    <t>No cost absorption for those who fall through</t>
  </si>
  <si>
    <t>Libertarian</t>
  </si>
  <si>
    <t>Free Will</t>
  </si>
  <si>
    <t>Refuses to acknowledge someone always pays</t>
  </si>
  <si>
    <t>Cost externalized, no one bears it voluntarily</t>
  </si>
  <si>
    <t>RECIPROCITY QUESTION</t>
  </si>
  <si>
    <t>For any policy proposal, score:</t>
  </si>
  <si>
    <t xml:space="preserve">  1. How much J-M-W does this DEMAND?</t>
  </si>
  <si>
    <t xml:space="preserve">  2. How much J-M-W does this TAKE from others?</t>
  </si>
  <si>
    <t xml:space="preserve">  3. Who bears the cost — voluntarily or by coercion?</t>
  </si>
  <si>
    <t xml:space="preserve">  4. What happens when the other side applies the same logic?</t>
  </si>
  <si>
    <t>If the answers are asymmetric, the position is incoherent. The ledger doesn't close.</t>
  </si>
  <si>
    <t>COHERENCE INDEX — Coerced vs. Voluntary Cost-Bearing</t>
  </si>
  <si>
    <t>The ratio of coerced-to-voluntary cost-bearing is the coherence index for any social system.</t>
  </si>
  <si>
    <t>THE MEASURABLE PREDICTION</t>
  </si>
  <si>
    <t>As voluntary cost-bearing declines, the state MUST increase coerced cost-bearing.</t>
  </si>
  <si>
    <t>This is not opinion. It is an accounting identity: someone always pays.</t>
  </si>
  <si>
    <t>DATA INPUTS — Enter actual values from public data sources</t>
  </si>
  <si>
    <t>All values in billions (USD). Yellow cells = user inputs.</t>
  </si>
  <si>
    <t>VOLUNTARY COST-BEARING</t>
  </si>
  <si>
    <t>SOURCE</t>
  </si>
  <si>
    <t>BASELINE</t>
  </si>
  <si>
    <t>CURRENT</t>
  </si>
  <si>
    <t>Δ CHANGE</t>
  </si>
  <si>
    <t>Individual charitable giving</t>
  </si>
  <si>
    <t>IRS Statistics of Income</t>
  </si>
  <si>
    <t>Church/religious giving</t>
  </si>
  <si>
    <t>Giving USA / IRS</t>
  </si>
  <si>
    <t>Foundation/corporate giving</t>
  </si>
  <si>
    <t>Giving USA</t>
  </si>
  <si>
    <t>Mutual aid / community orgs</t>
  </si>
  <si>
    <t>Census / research</t>
  </si>
  <si>
    <t>Family-level dispute resolution (est.)</t>
  </si>
  <si>
    <t>Proxy estimate</t>
  </si>
  <si>
    <t>TOTAL VOLUNTARY</t>
  </si>
  <si>
    <t>COERCED COST-BEARING</t>
  </si>
  <si>
    <t>Federal social program spending</t>
  </si>
  <si>
    <t>OMB / CBO</t>
  </si>
  <si>
    <t>State enforcement budgets</t>
  </si>
  <si>
    <t>Census of Governments</t>
  </si>
  <si>
    <t>Court/litigation system costs</t>
  </si>
  <si>
    <t>NCSC / DOJ</t>
  </si>
  <si>
    <t>Regulatory compliance overhead</t>
  </si>
  <si>
    <t>Competitive Enterprise Inst.</t>
  </si>
  <si>
    <t>Incarceration costs</t>
  </si>
  <si>
    <t>BJS / Vera Institute</t>
  </si>
  <si>
    <t>TOTAL COERCED</t>
  </si>
  <si>
    <t>COHERENCE INDEX CALCULATION</t>
  </si>
  <si>
    <t>Metric</t>
  </si>
  <si>
    <t>DIRECTION</t>
  </si>
  <si>
    <t>Coerced ÷ Voluntary Ratio</t>
  </si>
  <si>
    <t>Voluntary Share of Total Cost-Bearing</t>
  </si>
  <si>
    <t>α (alpha) — Voluntary Cost-Bearer Present?</t>
  </si>
  <si>
    <t>INTERPRETATION</t>
  </si>
  <si>
    <t>Ratio &lt; 1.0x → More voluntary than coerced. Community absorbs cost. High coherence.</t>
  </si>
  <si>
    <t>Ratio 1.0–2.0x → Coercion exceeds voluntary. Institutions replacing community. Tension.</t>
  </si>
  <si>
    <t>Ratio &gt; 2.0x → System-dependent. Voluntary cost-bearer has disappeared. Trilemma exposed.</t>
  </si>
  <si>
    <t>SYSTEM VERDICT</t>
  </si>
  <si>
    <t>Current system coherence:</t>
  </si>
  <si>
    <t>HISTORICAL BASELINE — Cost-Bearing Shift by Decade</t>
  </si>
  <si>
    <t>Tracking the shift from voluntary to coerced cost-bearing across American social infrastructure.</t>
  </si>
  <si>
    <t>COST-BEARING INFRASTRUCTURE BY ERA</t>
  </si>
  <si>
    <t>Indicator</t>
  </si>
  <si>
    <t>1900–1950</t>
  </si>
  <si>
    <t>1950–1970</t>
  </si>
  <si>
    <t>1970–1990</t>
  </si>
  <si>
    <t>1990–2010</t>
  </si>
  <si>
    <t>2010–Present</t>
  </si>
  <si>
    <t>TREND</t>
  </si>
  <si>
    <t>Church membership (% of pop.)</t>
  </si>
  <si>
    <t>Charitable giving (% of GDP)</t>
  </si>
  <si>
    <t>Family stability (married HH %)</t>
  </si>
  <si>
    <t>Community org participation (%)</t>
  </si>
  <si>
    <t>Disputes resolved at family/church level (%)</t>
  </si>
  <si>
    <t>Federal social spending (% of GDP)</t>
  </si>
  <si>
    <t>Litigation rate (cases per 1,000 pop.)</t>
  </si>
  <si>
    <t>Incarceration rate (per 100,000)</t>
  </si>
  <si>
    <t>Regulatory burden (pages of Federal Register)</t>
  </si>
  <si>
    <t>Family court caseload (per 1,000 pop.)</t>
  </si>
  <si>
    <t>ERA ANALYSIS — What Changed and When</t>
  </si>
  <si>
    <t>ERA</t>
  </si>
  <si>
    <t>PRIMARY COST-BEARER</t>
  </si>
  <si>
    <t>MECHANISM</t>
  </si>
  <si>
    <t>COHERENCE LEVEL</t>
  </si>
  <si>
    <t>Family, Church, Mutual Aid</t>
  </si>
  <si>
    <t>Voluntary. Pastor + conversation resolved disputes.</t>
  </si>
  <si>
    <t>HIGH</t>
  </si>
  <si>
    <t>Shift: Family → Federal</t>
  </si>
  <si>
    <t>Great Society. Institutional mercy via compulsory taxation.</t>
  </si>
  <si>
    <t>DECLINING</t>
  </si>
  <si>
    <t>State + Federal</t>
  </si>
  <si>
    <t>Church decline. Family fragmentation. Litigation replacing negotiation.</t>
  </si>
  <si>
    <t>LOW</t>
  </si>
  <si>
    <t>Federal dominant</t>
  </si>
  <si>
    <t>Every J and M claim routes through government. No voluntary option.</t>
  </si>
  <si>
    <t>VERY LOW</t>
  </si>
  <si>
    <t>Federal + platform coercion</t>
  </si>
  <si>
    <t>Digital adds new layer. Algorithmic cost-bearing with no opt-out.</t>
  </si>
  <si>
    <t>CRITICAL</t>
  </si>
  <si>
    <t>CONCRETE EXAMPLE: Marriage Disputes</t>
  </si>
  <si>
    <t>1950: Pastor + conversation (voluntary).</t>
  </si>
  <si>
    <t>2025: Lawyers + courts + custody evaluators + child support enforcement + federal tax code (coerced).</t>
  </si>
  <si>
    <t>The J-M-W demand went up. The voluntary cost-bearing went down. That's not opinion. That's measurable institutional overhead.</t>
  </si>
  <si>
    <t>NOVEL PROBLEMS — No Historical Baseline</t>
  </si>
  <si>
    <t>These issues have no prior solution to compare against. The question becomes:</t>
  </si>
  <si>
    <t>What configuration maximizes freedom while minimizing the J-M gap?</t>
  </si>
  <si>
    <t>Answer: The configuration that includes a voluntary cost-bearer.</t>
  </si>
  <si>
    <t>Novel Problem</t>
  </si>
  <si>
    <t>Key Question</t>
  </si>
  <si>
    <t>Who Bears the Cost?</t>
  </si>
  <si>
    <t>Voluntary or Coerced?</t>
  </si>
  <si>
    <t>AI job displacement</t>
  </si>
  <si>
    <t>Who pays when 50M jobs vanish?</t>
  </si>
  <si>
    <t>Genetic engineering</t>
  </si>
  <si>
    <t>Who bears the cost of unintended consequences?</t>
  </si>
  <si>
    <t>Digital identity / surveillance</t>
  </si>
  <si>
    <t>Who absorbs the cost of privacy loss?</t>
  </si>
  <si>
    <t>Algorithmic manipulation</t>
  </si>
  <si>
    <t>Who pays for attention exploitation?</t>
  </si>
  <si>
    <t>If nobody volunteers, the state coerces it through taxation.</t>
  </si>
  <si>
    <t>Coerced cost-bearing is not mercy. It's justice wearing mercy's clothes.</t>
  </si>
  <si>
    <t>α in R(offense, α) tells you WHO is paying and WHETHER they chose to.</t>
  </si>
  <si>
    <t>α RESOLVER — R(offense, α) Applied to America's 15 Fault Lines</t>
  </si>
  <si>
    <t>For each issue: Who is the offender? Is α applied to the actual offender? If not, the policy is collective punishment wearing justice's name.</t>
  </si>
  <si>
    <t>THE RULE</t>
  </si>
  <si>
    <t>α applies to the OFFENDER. Not the offender's class. Not their demographic. Not their descendants. Not people who MIGHT offend.</t>
  </si>
  <si>
    <t>Every political fight that can't resolve is a fight about applying justice to someone who isn't the offender.</t>
  </si>
  <si>
    <t>AGE AS LIVE FIGHT</t>
  </si>
  <si>
    <t>WHO IS THE OFFENDER?</t>
  </si>
  <si>
    <t>WHO DOES POLICY TARGET?</t>
  </si>
  <si>
    <t>α CORRECT?</t>
  </si>
  <si>
    <t>MATH SAYS</t>
  </si>
  <si>
    <t>RESOLVES?</t>
  </si>
  <si>
    <t>WHY / WHY NOT</t>
  </si>
  <si>
    <t>HISTORICALLY RESOLVED — Pattern is clear, lesson learned the hard way</t>
  </si>
  <si>
    <t>Death Penalty</t>
  </si>
  <si>
    <t>200+ years</t>
  </si>
  <si>
    <t>The murderer</t>
  </si>
  <si>
    <t>The murderer (correct target)</t>
  </si>
  <si>
    <t>YES, but α&gt;1</t>
  </si>
  <si>
    <t>α=1 was served by imprisonment. Death = α&gt;1 = vengeance.</t>
  </si>
  <si>
    <t>YES</t>
  </si>
  <si>
    <t>Trending abolition globally. Every mature democracy that abolished didn't go back.</t>
  </si>
  <si>
    <t>War / Military</t>
  </si>
  <si>
    <t>1,500+ years</t>
  </si>
  <si>
    <t>The aggressor</t>
  </si>
  <si>
    <t>The aggressor (correct target)</t>
  </si>
  <si>
    <t>α=1 on aggressor. Defense justified. Mercy constrains conduct.</t>
  </si>
  <si>
    <t>Just war doctrine. Resolved in principle, violated in practice.</t>
  </si>
  <si>
    <t>Economics</t>
  </si>
  <si>
    <t>100+ years</t>
  </si>
  <si>
    <t>The exploiter</t>
  </si>
  <si>
    <t>The entire wealthy class</t>
  </si>
  <si>
    <t>NO</t>
  </si>
  <si>
    <t>α on exploiter, not demographic. Redistribution = collective punishment.</t>
  </si>
  <si>
    <t>Pure capitalism and communism both failed. Mixed economies won by exhaustive failure.</t>
  </si>
  <si>
    <t>Race / Systemic Justice</t>
  </si>
  <si>
    <t>150+ years</t>
  </si>
  <si>
    <t>Historical: slaveholders. Current: the system</t>
  </si>
  <si>
    <t>Descendants / demographic</t>
  </si>
  <si>
    <t>MISAPPLIED</t>
  </si>
  <si>
    <t>Offenders dead. Descendants didn't offend. If SYSTEM offends, system pays.</t>
  </si>
  <si>
    <t>PARTIAL</t>
  </si>
  <si>
    <t>Core question (WHETHER) resolved. HOW question remains — system vs. demographic target.</t>
  </si>
  <si>
    <t>Religion in Public Life</t>
  </si>
  <si>
    <t>400+ years</t>
  </si>
  <si>
    <t>The imposer</t>
  </si>
  <si>
    <t>The imposer (correct target)</t>
  </si>
  <si>
    <t>α=1 on imposer. Practice is free will. Imposition is offense.</t>
  </si>
  <si>
    <t>Theocracy failed (J no W). State atheism failed (W no J/M). Separation won.</t>
  </si>
  <si>
    <t>Drugs</t>
  </si>
  <si>
    <t>50+ years</t>
  </si>
  <si>
    <t>User is offender AND victim</t>
  </si>
  <si>
    <t>The user (punished on top of self-punishment)</t>
  </si>
  <si>
    <t>User already paying via addiction. State adding punishment = α&gt;1.</t>
  </si>
  <si>
    <t>TRENDING</t>
  </si>
  <si>
    <t>Decrim + treatment winning globally. Portugal 25yr data. Mercy + free will.</t>
  </si>
  <si>
    <t>Education</t>
  </si>
  <si>
    <t>No offender (access question)</t>
  </si>
  <si>
    <t>N/A — content fight is derivative</t>
  </si>
  <si>
    <t>N/A</t>
  </si>
  <si>
    <t>Compulsory access resolved 150yr ago. Current fight = religion derivative.</t>
  </si>
  <si>
    <t>Access solved. Content debate is actually religion-in-public-life replayed.</t>
  </si>
  <si>
    <t>LIVE FIGHTS — Genuine fault lines, 50 years or less</t>
  </si>
  <si>
    <t>50 years</t>
  </si>
  <si>
    <t>UNDEFINED — depends on when existence carries full weight</t>
  </si>
  <si>
    <t>Both sides target the other side's existence claim</t>
  </si>
  <si>
    <t>UNRESOLVABLE</t>
  </si>
  <si>
    <t>Math can't resolve without a definition biology doesn't give.</t>
  </si>
  <si>
    <t>Genuine paradox. Both sides argue from A1.1. Neither is applying α to wrong target.</t>
  </si>
  <si>
    <t>Guns</t>
  </si>
  <si>
    <t>30 years</t>
  </si>
  <si>
    <t>The shooter</t>
  </si>
  <si>
    <t>All gun owners (class punishment)</t>
  </si>
  <si>
    <t>α=1 on the shooter. Restricting ownership = pre-crime α on non-offenders.</t>
  </si>
  <si>
    <t>Math resolves it. Policy applies α to wrong target. Technology outpaced the framework.</t>
  </si>
  <si>
    <t>Euthanasia</t>
  </si>
  <si>
    <t>20 years</t>
  </si>
  <si>
    <t>NO OFFENDER — no offense committed</t>
  </si>
  <si>
    <t>R(offense, α) requires an offense. No violation = free will governs.</t>
  </si>
  <si>
    <t>Not a justice question. Free will question. Unless someone else holds the switch.</t>
  </si>
  <si>
    <t>15 years</t>
  </si>
  <si>
    <t>Illegal crosser committed offense, BUT...</t>
  </si>
  <si>
    <t>People fleeing worse offense</t>
  </si>
  <si>
    <t>INVERTED</t>
  </si>
  <si>
    <t>α=1 on crosser is punishing someone fleeing a worse α. Victim, not offender.</t>
  </si>
  <si>
    <t>Globalization created movement at scale borders weren't designed for.</t>
  </si>
  <si>
    <t>Healthcare</t>
  </si>
  <si>
    <t>NO OFFENDER — getting sick isn't an offense</t>
  </si>
  <si>
    <t>The uninsured (punished for being sick)</t>
  </si>
  <si>
    <t>No offender = justice has no target. Only mercy applies.</t>
  </si>
  <si>
    <t>Math resolves: not a justice problem. Mercy question. Technology made it expensive.</t>
  </si>
  <si>
    <t>Gender / Sexuality / Trans</t>
  </si>
  <si>
    <t>10 years</t>
  </si>
  <si>
    <t>NO OFFENDER — sincere belief isn't offense</t>
  </si>
  <si>
    <t>People whose identity contradicts biology</t>
  </si>
  <si>
    <t>WRONG FRAME</t>
  </si>
  <si>
    <t>Error ≠ offense. Don't apply justice to error. Apply truth.</t>
  </si>
  <si>
    <t>NO*</t>
  </si>
  <si>
    <t>*Not a justice question at all. Truth question. Truth without love = cruelty.</t>
  </si>
  <si>
    <t>Climate</t>
  </si>
  <si>
    <t>The polluter</t>
  </si>
  <si>
    <t>The polluter (correct target)</t>
  </si>
  <si>
    <t>α=1 on polluter proportional to offense. Carbon tax is clean math.</t>
  </si>
  <si>
    <t>Resolves cleanly. Polluter pays. Timescale problem — justice is intergenerational.</t>
  </si>
  <si>
    <t>AI / Technology</t>
  </si>
  <si>
    <t>5 years</t>
  </si>
  <si>
    <t>NO OFFENSE YET — pre-emptive</t>
  </si>
  <si>
    <t>N/A — no stable definitions exist</t>
  </si>
  <si>
    <t>Math doesn't apply until there's a violation. Can't set α on nothing.</t>
  </si>
  <si>
    <t>Question doesn't have stable definitions yet. Framework applies once it does.</t>
  </si>
  <si>
    <t>Resolution Category</t>
  </si>
  <si>
    <t>Count</t>
  </si>
  <si>
    <t>Issues</t>
  </si>
  <si>
    <t>α applied correctly → RESOLVES</t>
  </si>
  <si>
    <t>Death penalty, War, Religion, Education, Guns, Euthanasia, Healthcare, Climate</t>
  </si>
  <si>
    <t>α applied to wrong target → STUCK</t>
  </si>
  <si>
    <t>Abortion (genuine paradox), Gender/Trans (wrong frame entirely), AI (no offense yet)</t>
  </si>
  <si>
    <t>Partially resolved / trending</t>
  </si>
  <si>
    <t>Race (system vs. demographic target), Immigration (victim not offender), Drugs (trending mercy)</t>
  </si>
  <si>
    <t>DIAGNOSTIC SUMMARY</t>
  </si>
  <si>
    <t>Issues where α is on the right target:</t>
  </si>
  <si>
    <t>of 15</t>
  </si>
  <si>
    <t>Issues applying α to wrong target:</t>
  </si>
  <si>
    <t>Issues that aren't justice questions at all:</t>
  </si>
  <si>
    <t>of 15 — applying justice where mercy, truth, or free will should govern</t>
  </si>
  <si>
    <t>THE CONCLUSION</t>
  </si>
  <si>
    <t>Most of American politics is applying α to everyone EXCEPT the actual offender.</t>
  </si>
  <si>
    <t>That's not justice. That's collective punishment wearing justice's name.</t>
  </si>
  <si>
    <t>Three categories of unresolved issues:</t>
  </si>
  <si>
    <t xml:space="preserve">  1. α on wrong target — the offender is identified but policy targets the class/demographic instead (Guns, Economics)</t>
  </si>
  <si>
    <t xml:space="preserve">  2. Wrong frame entirely — it's not a justice question, so α doesn't apply (Healthcare = mercy, Gender = truth, Euthanasia = free will)</t>
  </si>
  <si>
    <t xml:space="preserve">  3. Genuine paradox — the offender can't be identified because the definition is contested (Abortion: when does existence carry full moral weight?)</t>
  </si>
  <si>
    <t>Category 1 resolves immediately if you apply α to the actual offender.</t>
  </si>
  <si>
    <t>Category 2 resolves immediately if you stop applying justice and use the right tool (mercy, truth, free will).</t>
  </si>
  <si>
    <t>Category 3 is the real problem. These are genuine trilemmas. The math says: no resolution without a voluntary cost-bearer.</t>
  </si>
  <si>
    <t>THE CORRECTED JUSTICE OPERATOR</t>
  </si>
  <si>
    <t>The earlier version R(offense, α) was incomplete. The missing variable is WHO.</t>
  </si>
  <si>
    <t>CORRECTED FORM</t>
  </si>
  <si>
    <t>R( D, O, α, ν )</t>
  </si>
  <si>
    <t>Term</t>
  </si>
  <si>
    <t>Symbol</t>
  </si>
  <si>
    <t>Meaning</t>
  </si>
  <si>
    <t>Disorder / Debt / Damage</t>
  </si>
  <si>
    <t>D</t>
  </si>
  <si>
    <t>The real offense — not perceived, not political, not rhetorical. Actual measurable harm.</t>
  </si>
  <si>
    <t>Offender-Set</t>
  </si>
  <si>
    <t>O</t>
  </si>
  <si>
    <t>O = { i : i caused or participated in the offense with agency }. Only members of O carry liability.</t>
  </si>
  <si>
    <t>Payment Allocation</t>
  </si>
  <si>
    <t>α</t>
  </si>
  <si>
    <t>α=1: offender pays (justice). α=0: substitute pays (mercy). α=0 + judge=payer: the Cross.</t>
  </si>
  <si>
    <t>Voluntariness</t>
  </si>
  <si>
    <t>ν</t>
  </si>
  <si>
    <t>Was the substitute payment voluntary? If ν=0 (forced), new injustice is created.</t>
  </si>
  <si>
    <t>PAYMENT TAXONOMY — Who pays and what is it?</t>
  </si>
  <si>
    <t>Case</t>
  </si>
  <si>
    <t>Who Pays?</t>
  </si>
  <si>
    <t>What Is It?</t>
  </si>
  <si>
    <t>α / ν Values</t>
  </si>
  <si>
    <t>Actual offender pays</t>
  </si>
  <si>
    <t>Offender</t>
  </si>
  <si>
    <t>α=1, O=correct</t>
  </si>
  <si>
    <t>Volunteer pays for offender</t>
  </si>
  <si>
    <t>Substitute</t>
  </si>
  <si>
    <t>MERCY / GRACE</t>
  </si>
  <si>
    <t>α=0, ν=1</t>
  </si>
  <si>
    <t>Family absorbs cost</t>
  </si>
  <si>
    <t>Parent / Spouse / Kin</t>
  </si>
  <si>
    <t>COVENANTAL MERCY</t>
  </si>
  <si>
    <t>α=0, ν=1, covenantal</t>
  </si>
  <si>
    <t>Random society forced to pay</t>
  </si>
  <si>
    <t>Non-offenders under force</t>
  </si>
  <si>
    <t>COLLECTIVE PUNISHMENT</t>
  </si>
  <si>
    <t>α=0, ν=0 → new injustice</t>
  </si>
  <si>
    <t>Judge pays the debt</t>
  </si>
  <si>
    <t>The standard-setter</t>
  </si>
  <si>
    <t>THE CROSS</t>
  </si>
  <si>
    <t>α=0, ν=1, judge=payer</t>
  </si>
  <si>
    <t>CRITICAL DISTINCTIONS</t>
  </si>
  <si>
    <t>JUSTICE = truthful assignment of real cost to real offender.</t>
  </si>
  <si>
    <t>MERCY = voluntary cost-bearing by another without denying the debt.</t>
  </si>
  <si>
    <t>INJUSTICE = assigning cost to a non-offender.</t>
  </si>
  <si>
    <t>Universal neighbor-love does NOT imply universal guilt-liability.</t>
  </si>
  <si>
    <t>Neighbor-scope (mercy/love): neighbor = any person whose need confronts me. Can become universal.</t>
  </si>
  <si>
    <t>Justice-liability scope: liable payer = actual offender. NEVER universal.</t>
  </si>
  <si>
    <t>That single distinction prevents the framework from collapsing into collective punishment.</t>
  </si>
  <si>
    <t>CLAIM-TYPE TAXONOMY — Not all claims are justice claims</t>
  </si>
  <si>
    <t>Before asking "who offended?" ask "what kind of claim is being made?"</t>
  </si>
  <si>
    <t>Claim Type</t>
  </si>
  <si>
    <t>Example</t>
  </si>
  <si>
    <t>Framework Category</t>
  </si>
  <si>
    <t>Internal experience</t>
  </si>
  <si>
    <t>"I experience myself this way."</t>
  </si>
  <si>
    <t>Sincerity / Suffering / Identity</t>
  </si>
  <si>
    <t>Biological / ontological</t>
  </si>
  <si>
    <t>"My body is biologically X."</t>
  </si>
  <si>
    <t>Truth / Ontology</t>
  </si>
  <si>
    <t>Social recognition</t>
  </si>
  <si>
    <t>"Others should treat me as X."</t>
  </si>
  <si>
    <t>Relation / Mercy / Free Will</t>
  </si>
  <si>
    <t>Coercive demand</t>
  </si>
  <si>
    <t>"Others MUST affirm this or be punished."</t>
  </si>
  <si>
    <t>Justice / Free Will Conflict</t>
  </si>
  <si>
    <t>Harassment or harm</t>
  </si>
  <si>
    <t>"Someone attacked or excluded me unjustly."</t>
  </si>
  <si>
    <t>Actual Offense → R(D,O,α,ν) applies</t>
  </si>
  <si>
    <t>Sincere error is not the same thing as offense.</t>
  </si>
  <si>
    <t>If something is factually wrong, the first response is truth, not punishment.</t>
  </si>
  <si>
    <t>If someone coerces another's speech, body, conscience, privacy, or safety — THEN justice enters.</t>
  </si>
  <si>
    <t>Truth without love is cruelty. Love without truth is sentimentality. You need both.</t>
  </si>
  <si>
    <t>Existence of a lived phenomenon ≠ truth of every claim attached to it.</t>
  </si>
  <si>
    <t>That keeps you from both mistakes: denying sincere experience AND accepting every ontological claim as automatically true.</t>
  </si>
  <si>
    <t>CLEAN PAYMENT FORMULA</t>
  </si>
  <si>
    <t>Pᵢ = λᵢ·D  if i ∈ O    (offender pays proportional to participation)</t>
  </si>
  <si>
    <t>Pᵢ = 0      if i ∉ O    (non-offender owes NOTHING under justice)</t>
  </si>
  <si>
    <t>P_sub &gt; 0   if voluntary  (mercy)</t>
  </si>
  <si>
    <t>P_sub &gt; 0   if forced     (new injustice created)</t>
  </si>
  <si>
    <t>Σλᵢ = 1 for all i ∈ O. The debt distributes across actual offenders proportional to agency. No one else.</t>
  </si>
  <si>
    <t>CANONICAL EQUATIONS — Working Paper Reference</t>
  </si>
  <si>
    <t>The condensed mathematical canon of the framework. This is the formalism. Still being refined.</t>
  </si>
  <si>
    <t>1. MASTER ARCHITECTURE</t>
  </si>
  <si>
    <t>χ(W) = C_W · [ ∫_Ω ∏ᵢ Lᵢ(W,x) dΩ ]</t>
  </si>
  <si>
    <t>Plain reading:</t>
  </si>
  <si>
    <t>A world/system W becomes coherent only when its governing law-functions are rightly integrated.</t>
  </si>
  <si>
    <t>The coupling is MULTIPLICATIVE, not additive. If one law-domain collapses toward zero, total coherence degrades.</t>
  </si>
  <si>
    <t>This is not G+M+E+… . It is G·M·E·… . Any zero kills the product.</t>
  </si>
  <si>
    <t>Coherence function</t>
  </si>
  <si>
    <t>χ(W)</t>
  </si>
  <si>
    <t>Total coherence of world/system W</t>
  </si>
  <si>
    <t>Normalization constant</t>
  </si>
  <si>
    <t>C_W</t>
  </si>
  <si>
    <t>Ensures proper scaling</t>
  </si>
  <si>
    <t>Integration domain</t>
  </si>
  <si>
    <t>Ω</t>
  </si>
  <si>
    <t>The domain over which laws operate (spatial, temporal, ontological)</t>
  </si>
  <si>
    <t>Law-functions</t>
  </si>
  <si>
    <t>Lᵢ</t>
  </si>
  <si>
    <t>The 10 Laws: G·M·E·S·T·K·R·Q·F·… Each must be nonzero.</t>
  </si>
  <si>
    <t>2. DYNAMIC REPAIR EQUATION</t>
  </si>
  <si>
    <t>ć = β · O(t) · Γ_ext(t) · (1−ρ(t)) · (1−c) − σ(t) · c</t>
  </si>
  <si>
    <t>Coherence changes over time. It decays from disorder (σ·c) and is restored by an external grace source.</t>
  </si>
  <si>
    <t>Restoration requires: coupling (β), openness (O), grace supply (Γ), and non-resistance (1−ρ).</t>
  </si>
  <si>
    <t>If any one of these is zero, restoration halts. Multiplicative again.</t>
  </si>
  <si>
    <t>What kills it</t>
  </si>
  <si>
    <t>Coherence state</t>
  </si>
  <si>
    <t>c</t>
  </si>
  <si>
    <t>Current coherence level (0 to 1)</t>
  </si>
  <si>
    <t>—</t>
  </si>
  <si>
    <t>Rate of change</t>
  </si>
  <si>
    <t>ć</t>
  </si>
  <si>
    <t>How fast coherence is changing</t>
  </si>
  <si>
    <t>Coupling efficiency</t>
  </si>
  <si>
    <t>β</t>
  </si>
  <si>
    <t>How well the agent connects to the source</t>
  </si>
  <si>
    <t>β=0: decoupled. Grace available but not received.</t>
  </si>
  <si>
    <t>Openness / Reception</t>
  </si>
  <si>
    <t>O(t)</t>
  </si>
  <si>
    <t>Agent's willingness to receive</t>
  </si>
  <si>
    <t>O=0: closed. No reception regardless of supply.</t>
  </si>
  <si>
    <t>External grace source</t>
  </si>
  <si>
    <t>Γ_ext(t)</t>
  </si>
  <si>
    <t>Grace supplied from outside the system</t>
  </si>
  <si>
    <t>Γ=0: no external source. System can't self-repair.</t>
  </si>
  <si>
    <t>Resistance / Refusal</t>
  </si>
  <si>
    <t>1−ρ(t)</t>
  </si>
  <si>
    <t>How much grace gets through (throttled by refusal)</t>
  </si>
  <si>
    <t>ρ=1: total resistance. Grace fully blocked.</t>
  </si>
  <si>
    <t>Remaining incoherence</t>
  </si>
  <si>
    <t>1−c</t>
  </si>
  <si>
    <t>Recoverable disorder still present</t>
  </si>
  <si>
    <t>c=1: fully coherent. Nothing left to repair.</t>
  </si>
  <si>
    <t>Decay / Entropy</t>
  </si>
  <si>
    <t>σ(t)·c</t>
  </si>
  <si>
    <t>Sin/disorder/entropy degrades existing coherence</t>
  </si>
  <si>
    <t>Always positive. Coherence decays without maintenance.</t>
  </si>
  <si>
    <t>3. GRACE AS OPERATOR</t>
  </si>
  <si>
    <t>𝒢_Γ : ψ_broken ↦ ψ_restored</t>
  </si>
  <si>
    <t>Grace is not a substance. It is a conversion operation. It moves a damaged state toward a restored state.</t>
  </si>
  <si>
    <t>It is "what the energy does" — not a spiritual fluid.</t>
  </si>
  <si>
    <t>Full form:</t>
  </si>
  <si>
    <t>𝒢_Γ(ψ, D, J, M) → ψ′</t>
  </si>
  <si>
    <t>Grace converts a disorder-marked state (ψ_D) into a coherence-restored state (ψ_C)</t>
  </si>
  <si>
    <t>without falsifying truth, justice, or mercy.</t>
  </si>
  <si>
    <t>4. CORRECTED JUSTICE OPERATOR</t>
  </si>
  <si>
    <t>D = real disorder/debt/offense</t>
  </si>
  <si>
    <t>O = actual offender-set { i : i caused or participated with agency }</t>
  </si>
  <si>
    <t>α = payment allocation (α=1 offender pays, α=0 substitute pays)</t>
  </si>
  <si>
    <t>ν = voluntariness of substitute payment (ν=1 voluntary, ν=0 forced)</t>
  </si>
  <si>
    <t>Hard rules:</t>
  </si>
  <si>
    <t xml:space="preserve">  • Justice holds ONLY IF cost is assigned to O.</t>
  </si>
  <si>
    <t xml:space="preserve">  • Mercy holds ONLY IF substitute payment is voluntary (ν=1).</t>
  </si>
  <si>
    <t xml:space="preserve">  • Grace holds when external cost-bearing repairs D without falsifying truth or coercing will.</t>
  </si>
  <si>
    <t xml:space="preserve">  • If ν=0 (forced payment by non-offender), NEW INJUSTICE is created.</t>
  </si>
  <si>
    <t>5. THE NESTED STRUCTURE</t>
  </si>
  <si>
    <t>These are not five separate equations. They are one dependency chain:</t>
  </si>
  <si>
    <t>Layer</t>
  </si>
  <si>
    <t>Role</t>
  </si>
  <si>
    <t>What happens if absent</t>
  </si>
  <si>
    <t>LOVE (outermost)</t>
  </si>
  <si>
    <t>ℒ</t>
  </si>
  <si>
    <t>The field. Not a variable to optimize. The manifold all equations run in.</t>
  </si>
  <si>
    <t>No field → no domain for grace to operate in. Everything collapses.</t>
  </si>
  <si>
    <t>GRACE</t>
  </si>
  <si>
    <t>𝒢_Γ</t>
  </si>
  <si>
    <t>The operation inside love. Converts broken to restored.</t>
  </si>
  <si>
    <t>No grace → no mechanism for mercy that preserves justice.</t>
  </si>
  <si>
    <t>JUSTICE + MERCY</t>
  </si>
  <si>
    <t>R(D,O,α,ν)</t>
  </si>
  <si>
    <t>Simultaneous max only when judge = payer.</t>
  </si>
  <si>
    <t>No judge-who-pays → justice and mercy contradict forever.</t>
  </si>
  <si>
    <t>FAITH</t>
  </si>
  <si>
    <t>The coupling constant. Connects agent to grace field.</t>
  </si>
  <si>
    <t>No faith → agent decoupled. Grace available but not received.</t>
  </si>
  <si>
    <t>1−ρ</t>
  </si>
  <si>
    <t>Agent's capacity to resist or accept. Must be real.</t>
  </si>
  <si>
    <t>No free will → faith is meaningless. Coupling is forced.</t>
  </si>
  <si>
    <t>CONSERVATION</t>
  </si>
  <si>
    <t>dS_m/dt</t>
  </si>
  <si>
    <t>The moral ledger. Entropy production minus grace work.</t>
  </si>
  <si>
    <t>Ledger never closes without external source term.</t>
  </si>
  <si>
    <t>Pull any layer and everything above it collapses.</t>
  </si>
  <si>
    <t>That is not philosophy. That is the dependency chain in the math.</t>
  </si>
  <si>
    <t>STATUS</t>
  </si>
  <si>
    <t>This is a working paper reference. The formalism is still being refined.</t>
  </si>
  <si>
    <t>We are not claiming we can cleanly distinguish all of this. We are claiming the structure is real and the math constrains it.</t>
  </si>
  <si>
    <t>"We're not God, but there IS a proper way to do this. We just haven't fully found it yet."</t>
  </si>
  <si>
    <t>The salvation equation is not a standalone proof. It is the time-evolution form AFTER the external-source</t>
  </si>
  <si>
    <t>necessity argument has already been established.</t>
  </si>
  <si>
    <t>THE IMPOSSIBILITY PROOF — Why J + M + W = 3 Cannot Exist in a Closed System</t>
  </si>
  <si>
    <t>This is not philosophy. This is algebra. Every theorem cited is established literature.</t>
  </si>
  <si>
    <t>§ 1. THE ALGEBRAIC IMPOSSIBILITY</t>
  </si>
  <si>
    <t>SETUP</t>
  </si>
  <si>
    <t>D &gt; 0 = real damage/debt/liability borne by Agent A due to actions of Agent B.</t>
  </si>
  <si>
    <t>A mechanism designer must resolve this state using transfers T_A (to victim) and T_B (from offender).</t>
  </si>
  <si>
    <t>Variable</t>
  </si>
  <si>
    <t>Definition</t>
  </si>
  <si>
    <t>Formula</t>
  </si>
  <si>
    <t>Full satisfaction requires</t>
  </si>
  <si>
    <t>Justice (J)</t>
  </si>
  <si>
    <t>Victim made whole</t>
  </si>
  <si>
    <t>J = T_A / D</t>
  </si>
  <si>
    <t>J = 1  →  T_A = D</t>
  </si>
  <si>
    <t>Mercy (M)</t>
  </si>
  <si>
    <t>Offender relieved of debt</t>
  </si>
  <si>
    <t>M = 1 − T_B / D</t>
  </si>
  <si>
    <t>M = 1  →  T_B = 0</t>
  </si>
  <si>
    <t>Free Will (W)</t>
  </si>
  <si>
    <t>Both participate voluntarily</t>
  </si>
  <si>
    <t>W = min(W_A, W_B)</t>
  </si>
  <si>
    <t>W = 1  →  IR holds for both agents</t>
  </si>
  <si>
    <t>THE PROOF</t>
  </si>
  <si>
    <t>Step 1: Closed system constraint (Strong Budget Balance)</t>
  </si>
  <si>
    <t>In a closed system, no external money enters. Therefore: T_A = T_B.</t>
  </si>
  <si>
    <t>Step 2: Substitute definitions</t>
  </si>
  <si>
    <t>J · D = (1 − M) · D</t>
  </si>
  <si>
    <t>Step 3: Cancel D (D &gt; 0)</t>
  </si>
  <si>
    <t>J = 1 − M</t>
  </si>
  <si>
    <t>Step 4: Therefore</t>
  </si>
  <si>
    <t>J + M = 1      ← THIS IS THE HARD CONSTRAINT</t>
  </si>
  <si>
    <t>Any increase in Justice requires an exactly equal decrease in Mercy. And vice versa.</t>
  </si>
  <si>
    <t>This is not a trade-off you can negotiate. It is arithmetic.</t>
  </si>
  <si>
    <t>Step 5: What Free Will requires</t>
  </si>
  <si>
    <t>Agent A (victim) participates voluntarily only if J = 1 (they are fully compensated).</t>
  </si>
  <si>
    <t>Agent B (offender) participates voluntarily only if M = 1 (they pay nothing).</t>
  </si>
  <si>
    <t>But J + M = 1. You cannot have J=1 AND M=1. QED.</t>
  </si>
  <si>
    <t>§ 2. THE CONSTRAINT SURFACE — Try It Yourself</t>
  </si>
  <si>
    <t>Enter any value for J between 0 and 1. The sheet will show what M and W must be.</t>
  </si>
  <si>
    <t>Justice (J) ← YOUR INPUT</t>
  </si>
  <si>
    <t>Mercy (M) = 1 − J</t>
  </si>
  <si>
    <t>J + M check</t>
  </si>
  <si>
    <t>← Always equals 1. Always.</t>
  </si>
  <si>
    <t>Victim's IR satisfied? (needs J=1)</t>
  </si>
  <si>
    <t>Offender's IR satisfied? (needs M=1)</t>
  </si>
  <si>
    <t>Free Will (W) = both satisfied?</t>
  </si>
  <si>
    <t>§ 3. ALL POSSIBLE POSITIONS IN A CLOSED SYSTEM</t>
  </si>
  <si>
    <t>There are exactly three corners. You must pick one. There is no center.</t>
  </si>
  <si>
    <t>Position</t>
  </si>
  <si>
    <t>What is sacrificed</t>
  </si>
  <si>
    <t>Full Justice + Full Free Will</t>
  </si>
  <si>
    <t>W_A only</t>
  </si>
  <si>
    <t>Mercy = 0. Offender pays everything. Offender's IR violated.</t>
  </si>
  <si>
    <t>Full Mercy + Full Free Will</t>
  </si>
  <si>
    <t>W_B only</t>
  </si>
  <si>
    <t>Justice = 0. Victim absorbs everything. Victim's IR violated.</t>
  </si>
  <si>
    <t>Split (compromise)</t>
  </si>
  <si>
    <t>Both IR violated. Neither party fully satisfied. Both coerced.</t>
  </si>
  <si>
    <t>Full J + Full M + Full W</t>
  </si>
  <si>
    <t>✗ IMPOSSIBLE. J+M=2 violates SBB. Requires external subsidizer.</t>
  </si>
  <si>
    <t>Every political argument is a fight over which corner to occupy.</t>
  </si>
  <si>
    <t>The "compassionate" position sacrifices Justice. The "tough" position sacrifices Mercy. The "compromise" coerces everyone.</t>
  </si>
  <si>
    <t>§ 4. ESTABLISHED IMPOSSIBILITY THEOREMS THAT PROVE THIS</t>
  </si>
  <si>
    <t>These are not conjectures. They are proven theorems in the peer-reviewed literature.</t>
  </si>
  <si>
    <t>Theorem</t>
  </si>
  <si>
    <t>Year</t>
  </si>
  <si>
    <t>What it proves</t>
  </si>
  <si>
    <t>Trilemma mapping</t>
  </si>
  <si>
    <t>Myerson-Satterthwaite</t>
  </si>
  <si>
    <t>No mechanism achieves efficiency + IR + budget balance under asymmetric info</t>
  </si>
  <si>
    <t>J + W = impossible without M (subsidy)</t>
  </si>
  <si>
    <t>Green-Laffont</t>
  </si>
  <si>
    <t>No mechanism achieves efficiency + DSIC + SBB in rich domains</t>
  </si>
  <si>
    <t>J + W = impossible without M (even for n agents)</t>
  </si>
  <si>
    <t>Sen's Liberal Paradox</t>
  </si>
  <si>
    <t>Pareto optimality + individual decisiveness = impossible</t>
  </si>
  <si>
    <t>J + W = impossible. Period.</t>
  </si>
  <si>
    <t>Arrow's Impossibility</t>
  </si>
  <si>
    <t>No ranked voting system satisfies all fairness criteria</t>
  </si>
  <si>
    <t>Collective J cannot aggregate individual W coherently</t>
  </si>
  <si>
    <t>These theorems are independent of each other. They converge on the same conclusion from different domains.</t>
  </si>
  <si>
    <t>Mathematics itself cannot produce a system where all three hold simultaneously in a closed system.</t>
  </si>
  <si>
    <t>§ 5. THE ONLY MATHEMATICAL RESOLUTION</t>
  </si>
  <si>
    <t>Open the system. Introduce a third-party subsidizer T who voluntarily absorbs the deficit.</t>
  </si>
  <si>
    <t>For T to participate voluntarily (W_T = 1), T must derive utility from systemic coherence.</t>
  </si>
  <si>
    <t>The altruistic utility function:</t>
  </si>
  <si>
    <t>U_T = k [ w_T + ρ · w_−T ] − Γ</t>
  </si>
  <si>
    <t>Private valuation</t>
  </si>
  <si>
    <t>w_T</t>
  </si>
  <si>
    <t>T's own baseline utility from the transaction</t>
  </si>
  <si>
    <t>Altruism coefficient</t>
  </si>
  <si>
    <t>ρ</t>
  </si>
  <si>
    <t>How much T weights the welfare of others. ρ ∈ [0,1].</t>
  </si>
  <si>
    <t>Others' welfare</t>
  </si>
  <si>
    <t>w_−T</t>
  </si>
  <si>
    <t>Aggregate utility of agents A and B.</t>
  </si>
  <si>
    <t>Subsidy cost</t>
  </si>
  <si>
    <t>Γ</t>
  </si>
  <si>
    <t>The cost T pays to balance the budget. Opens the system.</t>
  </si>
  <si>
    <t>T participates voluntarily if and only if:</t>
  </si>
  <si>
    <t>ρ · w_−T  ≥  Γ</t>
  </si>
  <si>
    <t>The subjectively discounted value of restoring the system must exceed the cost of the subsidy.</t>
  </si>
  <si>
    <t>§ 6. SOCIAL DISCOUNTING — Why Distance Kills Mercy</t>
  </si>
  <si>
    <t>The willingness to subsidize decays with social distance. Three models from the literature:</t>
  </si>
  <si>
    <t>Model</t>
  </si>
  <si>
    <t>Behavior</t>
  </si>
  <si>
    <t>Best fit for</t>
  </si>
  <si>
    <t>Exponential</t>
  </si>
  <si>
    <t>v = V · exp(−kN)</t>
  </si>
  <si>
    <t>Constant discount rate. Smooth decay.</t>
  </si>
  <si>
    <t>Underestimates close, overestimates far</t>
  </si>
  <si>
    <t>Hyperbolic</t>
  </si>
  <si>
    <t>v = V / (1 + kN)</t>
  </si>
  <si>
    <t>Fast initial drop, then levels off.</t>
  </si>
  <si>
    <t>Social discounting of GAINS</t>
  </si>
  <si>
    <t>Tsallis q-exponential</t>
  </si>
  <si>
    <t>v = V / [1+(1−q)kN]^(1/(1−q))</t>
  </si>
  <si>
    <t>Interpersonal inconsistency (q&lt;1).</t>
  </si>
  <si>
    <t>Social discounting of LOSSES</t>
  </si>
  <si>
    <t>N = social distance. k = discount rate. V = undiscounted value of relief to recipient.</t>
  </si>
  <si>
    <t>This is why your Coherence Index works.</t>
  </si>
  <si>
    <t>Family (N≈0) can absorb costs that strangers (N→∞) cannot. The math predicts it.</t>
  </si>
  <si>
    <t>Your social radii (Family → Community → State → Federal) are a social distance gradient.</t>
  </si>
  <si>
    <t>As N increases, ρ decreases, and the subsidy becomes involuntary → coercion → new injustice.</t>
  </si>
  <si>
    <t>§ 7. THE SECOND-BEST BOUND — How Much You Lose Without a Subsidizer</t>
  </si>
  <si>
    <t>Without an external subsidizer, the best possible mechanism captures at most HALF the ideal.</t>
  </si>
  <si>
    <t>Benchmark</t>
  </si>
  <si>
    <t>Constraints</t>
  </si>
  <si>
    <t>Performance</t>
  </si>
  <si>
    <t>Translation</t>
  </si>
  <si>
    <t>First-Best (FB)</t>
  </si>
  <si>
    <t>IC + IR. Fails SBB (needs subsidy).</t>
  </si>
  <si>
    <t>Full J + full W. Requires Mercy (external Γ).</t>
  </si>
  <si>
    <t>Second-Best (SB)</t>
  </si>
  <si>
    <t>IC + IR + SBB. No external money.</t>
  </si>
  <si>
    <t>≥ 50%</t>
  </si>
  <si>
    <t>Best you can do without a subsidizer. Proven tight.</t>
  </si>
  <si>
    <t>Fixed-Price</t>
  </si>
  <si>
    <t>DSIC + IR + SBB.</t>
  </si>
  <si>
    <t>Varies</t>
  </si>
  <si>
    <t>Simple but crude. Many beneficial trades lost.</t>
  </si>
  <si>
    <t>The ½ bound is TIGHT. For specific distributions, no mechanism recovers more than 50%.</t>
  </si>
  <si>
    <t>You permanently sacrifice half the ideal to maintain a closed system. That is the mathematical cost of refusing mercy.</t>
  </si>
  <si>
    <t>§ 8. THE CONVERGENCE</t>
  </si>
  <si>
    <t>The mechanism design proof and the theological claim make the same structural argument:</t>
  </si>
  <si>
    <t>Mechanism Design</t>
  </si>
  <si>
    <t>Framework</t>
  </si>
  <si>
    <t>J + M = 1 in closed system</t>
  </si>
  <si>
    <t>Justice and Mercy cannot coexist without external cost-bearer</t>
  </si>
  <si>
    <t>Requires external subsidizer T with ρ &gt; 0</t>
  </si>
  <si>
    <t>Requires voluntary grace from outside the system</t>
  </si>
  <si>
    <t>T pays Γ voluntarily (ν=1)</t>
  </si>
  <si>
    <t>Cost-bearer must choose freely. Forced = new injustice.</t>
  </si>
  <si>
    <t>T must derive utility from systemic coherence</t>
  </si>
  <si>
    <t>The subsidizer must love the system enough to pay the debt</t>
  </si>
  <si>
    <t>The special case: judge = subsidizer</t>
  </si>
  <si>
    <t>The Cross. The standard-setter pays the debt.</t>
  </si>
  <si>
    <t>Only resolution where J=1, M=1, W=1</t>
  </si>
  <si>
    <t>Only resolution where justice, mercy, and free will all hold simultaneously</t>
  </si>
  <si>
    <t>The math does not require you to believe in God.</t>
  </si>
  <si>
    <t>The math requires you to believe that a closed system cannot solve its own justice problem.</t>
  </si>
  <si>
    <t>And that the only exit is a voluntary external cost-bearer who values systemic coherence above personal cost.</t>
  </si>
  <si>
    <t>Whether that entity exists is a different question. That it must exist for the trilemma to resolve is algebra.</t>
  </si>
  <si>
    <t>HISTORICAL χ SCORER — Master Equation Duality Framework</t>
  </si>
  <si>
    <t>χ(W) = C_W · [ ∫∫∫ G·M·E·S·T·K·R·Q·F dx dy dt ]  —  Nine internal factors, consciousness as wrapper</t>
  </si>
  <si>
    <t>Blind scoring: each factor rated −3 to +3. Three outputs per event: Direction (Φ), Veto (χ_min), Historical Coherence (χ_H).</t>
  </si>
  <si>
    <t>SCORING SCALE</t>
  </si>
  <si>
    <t>+3 = strongly constructive — 0 = absent/neutral/indeterminate — -3 = strongly destructive</t>
  </si>
  <si>
    <t>S_c (entropy): +3 = strongly entropy-reducing — -3 = strongly entropy-producing (S_c = -S_e)</t>
  </si>
  <si>
    <t>C_W (wrapper): +1 = constructive orientation — 0 = mixed/contested — -1 = destructive orientation</t>
  </si>
  <si>
    <t>POLE DEFINITIONS</t>
  </si>
  <si>
    <t>Constructive Pole (+3)</t>
  </si>
  <si>
    <t>Destructive Pole (−3)</t>
  </si>
  <si>
    <t>(G) Grace</t>
  </si>
  <si>
    <t>Absorbs cost, restores, gives without domination</t>
  </si>
  <si>
    <t>Exports cost, creates dependency, offers counterfeit repair</t>
  </si>
  <si>
    <t>(M) Motion</t>
  </si>
  <si>
    <t>Directed action toward restoration</t>
  </si>
  <si>
    <t>Directed action toward domination or destruction</t>
  </si>
  <si>
    <t>(E) Generator</t>
  </si>
  <si>
    <t>Produces durable constructive capacity</t>
  </si>
  <si>
    <t>Generates self-reinforcing destructive machinery</t>
  </si>
  <si>
    <t>(S_c) Sin/Entropy</t>
  </si>
  <si>
    <t>Low closure, low disorder production</t>
  </si>
  <si>
    <t>High closure, fragmentation, irreversible damage</t>
  </si>
  <si>
    <t>(T) Justice</t>
  </si>
  <si>
    <t>Correct ledger, cost attached to responsible party</t>
  </si>
  <si>
    <t>Debt concealed, transferred, deferred, or imposed on innocents</t>
  </si>
  <si>
    <t>(K) Knowledge</t>
  </si>
  <si>
    <t>Truth access, transparency, correction</t>
  </si>
  <si>
    <t>Censorship, distortion, credential monopoly</t>
  </si>
  <si>
    <t>(R) Resurrection</t>
  </si>
  <si>
    <t>Repair after damage, recovery capacity</t>
  </si>
  <si>
    <t>Permanent damage, no path back, destruction without restoration</t>
  </si>
  <si>
    <t>(Q) Faith</t>
  </si>
  <si>
    <t>Constructive commitment before full certainty</t>
  </si>
  <si>
    <t>Ideological commitment insulated from evidence</t>
  </si>
  <si>
    <t>(F) Faith Network</t>
  </si>
  <si>
    <t>Voluntary trust and relational coherence</t>
  </si>
  <si>
    <t>Forced conformity, surveillance, centralized dependency</t>
  </si>
  <si>
    <t>HISTORICAL DUALITY SCORES (Claude — Blind)</t>
  </si>
  <si>
    <t>Event</t>
  </si>
  <si>
    <t>G</t>
  </si>
  <si>
    <t>E</t>
  </si>
  <si>
    <t>S_c</t>
  </si>
  <si>
    <t>T</t>
  </si>
  <si>
    <t>K</t>
  </si>
  <si>
    <t>R</t>
  </si>
  <si>
    <t>Q</t>
  </si>
  <si>
    <t>F</t>
  </si>
  <si>
    <t>V_phys</t>
  </si>
  <si>
    <t>Φ (Direction)</t>
  </si>
  <si>
    <t>χ_min (Veto)</t>
  </si>
  <si>
    <t>χ_H</t>
  </si>
  <si>
    <t>Nicaea 325 AD</t>
  </si>
  <si>
    <t>Printing Press 1440</t>
  </si>
  <si>
    <t>American Abolition 1865</t>
  </si>
  <si>
    <t>Hiroshima 1945</t>
  </si>
  <si>
    <t>Great Society 1964–68</t>
  </si>
  <si>
    <t>Mao Cultural Rev 1966–76</t>
  </si>
  <si>
    <t>Reformation 1517</t>
  </si>
  <si>
    <t>COVID Lockdowns 2020</t>
  </si>
  <si>
    <t>British Abolition 1807</t>
  </si>
  <si>
    <t>Social Media 2004–15</t>
  </si>
  <si>
    <t>Weakest Factor</t>
  </si>
  <si>
    <t>V_phys SCALE (Physical Reach)</t>
  </si>
  <si>
    <t>1–3: Local (village, single institution, brief duration)</t>
  </si>
  <si>
    <t>4–6: Regional (province, multi-year, significant population)</t>
  </si>
  <si>
    <t>7–8: National/civilizational (major nation, decades, systemic change)</t>
  </si>
  <si>
    <t>9–10: Global/permanent (billions affected, multi-generational, irreversible precedent)</t>
  </si>
  <si>
    <t>MATHEMATICAL NOTE</t>
  </si>
  <si>
    <t>Φ = Σ w_i x_i (currently unweighted, w_i = 1 for all). Shows net directional force.</t>
  </si>
  <si>
    <t>χ_min = MIN(all 9 factors). Identifies the load-bearing failure point.</t>
  </si>
  <si>
    <t>χ_H = C_W × Φ × V_phys. Full historical coherence score. Sign = direction, magnitude = scale.</t>
  </si>
  <si>
    <t>When C_W = 0 (mixed orientation), χ_H collapses to zero regardless of factor scores. This is by design.</t>
  </si>
  <si>
    <t>The double-negative case (C_W = -1, Φ &lt; 0) produces positive χ_H. This means: destructive intent + destructive effect = large magnitude. Verdict reads Φ sign for true direction.</t>
  </si>
  <si>
    <t>CONVERGENCE MAP — Claude vs GPT Blind Scoring</t>
  </si>
  <si>
    <t>Both AIs received the same rubric (9 factors, ±3 scale, C_W wrapper). Neither saw the other's scores. GPT split 4 events into phases.</t>
  </si>
  <si>
    <t>Convergence = definitions are working. Divergence = pole definitions need tightening or the event contains genuine ambiguity.</t>
  </si>
  <si>
    <t>SECTION 1: SIDE-BY-SIDE SCORES</t>
  </si>
  <si>
    <t>Scorer</t>
  </si>
  <si>
    <t>Φ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</si>
</sst>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&quot;$&quot;#,##0;\(&quot;$&quot;#,##0\);&quot;-&quot;"/>
    <numFmt numFmtId="166" formatCode="0.00\x"/>
    <numFmt numFmtId="167" formatCode="0.0%"/>
    <numFmt numFmtId="168" formatCode="0.0"/>
  </numFmts>
  <fonts count="7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A1A2E"/>
      <name val="Aptos Narrow"/>
      <family val="2"/>
      <scheme val="minor"/>
    </font>
    <font>
      <b/>
      <sz val="11"/>
      <color rgb="FF555555"/>
      <name val="Aptos Narrow"/>
      <family val="2"/>
      <scheme val="minor"/>
    </font>
    <font>
      <b/>
      <sz val="11"/>
      <color rgb="FF1A1A2E"/>
      <name val="Aptos Narrow"/>
      <family val="2"/>
      <scheme val="minor"/>
    </font>
    <font>
      <b/>
      <sz val="12"/>
      <color rgb="FF1A1A2E"/>
      <name val="Aptos Narrow"/>
      <family val="2"/>
      <scheme val="minor"/>
    </font>
    <font>
      <sz val="11"/>
      <color rgb="FF0000FF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rgb="FF1A1A2E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b/>
      <sz val="11"/>
      <color rgb="FFC0392B"/>
      <name val="Aptos Narrow"/>
      <family val="2"/>
      <scheme val="minor"/>
    </font>
    <font>
      <b/>
      <sz val="10"/>
      <color rgb="FFC0392B"/>
      <name val="Aptos Narrow"/>
      <family val="2"/>
      <scheme val="minor"/>
    </font>
    <font>
      <b/>
      <sz val="10"/>
      <color rgb="FF2980B9"/>
      <name val="Aptos Narrow"/>
      <family val="2"/>
      <scheme val="minor"/>
    </font>
    <font>
      <b/>
      <sz val="10"/>
      <color rgb="FF27AE6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2980B9"/>
      <name val="Aptos Narrow"/>
      <family val="2"/>
      <scheme val="minor"/>
    </font>
    <font>
      <b/>
      <sz val="11"/>
      <color rgb="FF27AE6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i/>
      <sz val="10"/>
      <color rgb="FF999999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sz val="11"/>
      <color rgb="FF2E75B6"/>
      <name val="Aptos Narrow"/>
      <family val="2"/>
      <scheme val="minor"/>
    </font>
    <font>
      <b/>
      <sz val="8"/>
      <color rgb="FF2E75B6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8"/>
      <color rgb="FFC00000"/>
      <name val="Aptos Narrow"/>
      <family val="2"/>
      <scheme val="minor"/>
    </font>
    <font>
      <b/>
      <sz val="11"/>
      <color rgb="FF999999"/>
      <name val="Aptos Narrow"/>
      <family val="2"/>
      <scheme val="minor"/>
    </font>
    <font>
      <b/>
      <sz val="12"/>
      <color rgb="FF1F4E79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1F4E79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2E75B6"/>
      <name val="Aptos Narrow"/>
      <family val="2"/>
      <scheme val="minor"/>
    </font>
    <font>
      <sz val="9"/>
      <color rgb="FF666666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9"/>
      <color rgb="FF666666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sz val="11"/>
      <color rgb="FFFF8C00"/>
      <name val="Aptos Narrow"/>
      <family val="2"/>
      <scheme val="minor"/>
    </font>
    <font>
      <b/>
      <sz val="11"/>
      <color rgb="FFFF8C00"/>
      <name val="Aptos Narrow"/>
      <family val="2"/>
      <scheme val="minor"/>
    </font>
    <font>
      <b/>
      <sz val="11"/>
      <color rgb="FF800000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4"/>
      <color rgb="FF008000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4"/>
      <color rgb="FF2E75B6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b/>
      <sz val="11"/>
      <color rgb="FF800080"/>
      <name val="Aptos Narrow"/>
      <family val="2"/>
      <scheme val="minor"/>
    </font>
    <font>
      <b/>
      <i/>
      <sz val="11"/>
      <color rgb="FF1F4E79"/>
      <name val="Aptos Narrow"/>
      <family val="2"/>
      <scheme val="minor"/>
    </font>
    <font>
      <sz val="11"/>
      <color theme="1"/>
      <name val="Consolas"/>
      <family val="3"/>
    </font>
    <font>
      <sz val="11"/>
      <color rgb="FFC00000"/>
      <name val="Consolas"/>
      <family val="3"/>
    </font>
    <font>
      <i/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1"/>
      <color theme="1"/>
      <name val="Consolas"/>
      <family val="3"/>
    </font>
    <font>
      <sz val="12"/>
      <color theme="1"/>
      <name val="Consolas"/>
      <family val="3"/>
    </font>
    <font>
      <b/>
      <sz val="12"/>
      <color rgb="FFC00000"/>
      <name val="Aptos Narrow"/>
      <family val="2"/>
      <scheme val="minor"/>
    </font>
    <font>
      <b/>
      <sz val="14"/>
      <color rgb="FFC00000"/>
      <name val="Consolas"/>
      <family val="3"/>
    </font>
    <font>
      <b/>
      <sz val="14"/>
      <color rgb="FF0000FF"/>
      <name val="Aptos Narrow"/>
      <family val="2"/>
      <scheme val="minor"/>
    </font>
    <font>
      <b/>
      <i/>
      <sz val="11"/>
      <color rgb="FF666666"/>
      <name val="Aptos Narrow"/>
      <family val="2"/>
      <scheme val="minor"/>
    </font>
    <font>
      <b/>
      <i/>
      <sz val="12"/>
      <color rgb="FFC00000"/>
      <name val="Aptos Narrow"/>
      <family val="2"/>
      <scheme val="minor"/>
    </font>
    <font>
      <i/>
      <sz val="11"/>
      <color rgb="FF333333"/>
      <name val="Aptos Narrow"/>
      <family val="2"/>
      <scheme val="minor"/>
    </font>
    <font>
      <sz val="11"/>
      <color rgb="FF666666"/>
      <name val="Aptos Narrow"/>
      <family val="2"/>
      <scheme val="minor"/>
    </font>
    <font>
      <i/>
      <sz val="11"/>
      <color rgb="FF8B0000"/>
      <name val="Aptos Narrow"/>
      <family val="2"/>
      <scheme val="minor"/>
    </font>
    <font>
      <i/>
      <sz val="11"/>
      <color rgb="FF00008B"/>
      <name val="Aptos Narrow"/>
      <family val="2"/>
      <scheme val="minor"/>
    </font>
    <font>
      <b/>
      <sz val="11"/>
      <color rgb="FF8B000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D4E6F1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D35400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</fills>
  <borders count="20"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7" fillId="3" borderId="0" xfId="0" applyFont="1" applyFill="1"/>
    <xf numFmtId="0" fontId="8" fillId="4" borderId="0" xfId="0" applyFont="1" applyFill="1"/>
    <xf numFmtId="0" fontId="0" fillId="4" borderId="0" xfId="0" applyFill="1"/>
    <xf numFmtId="0" fontId="9" fillId="0" borderId="0" xfId="0" applyFont="1"/>
    <xf numFmtId="0" fontId="8" fillId="5" borderId="0" xfId="0" applyFont="1" applyFill="1"/>
    <xf numFmtId="0" fontId="0" fillId="5" borderId="0" xfId="0" applyFill="1"/>
    <xf numFmtId="0" fontId="8" fillId="6" borderId="0" xfId="0" applyFont="1" applyFill="1"/>
    <xf numFmtId="0" fontId="0" fillId="6" borderId="0" xfId="0" applyFill="1"/>
    <xf numFmtId="0" fontId="10" fillId="0" borderId="0" xfId="0" applyFont="1"/>
    <xf numFmtId="0" fontId="11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8" fillId="11" borderId="0" xfId="0" applyFont="1" applyFill="1"/>
    <xf numFmtId="0" fontId="0" fillId="11" borderId="0" xfId="0" applyFill="1"/>
    <xf numFmtId="0" fontId="16" fillId="0" borderId="0" xfId="0" applyFont="1"/>
    <xf numFmtId="0" fontId="8" fillId="12" borderId="0" xfId="0" applyFont="1" applyFill="1"/>
    <xf numFmtId="0" fontId="0" fillId="12" borderId="0" xfId="0" applyFill="1"/>
    <xf numFmtId="0" fontId="1" fillId="13" borderId="0" xfId="0" applyFont="1" applyFill="1"/>
    <xf numFmtId="0" fontId="1" fillId="1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" fillId="14" borderId="0" xfId="0" applyFont="1" applyFill="1"/>
    <xf numFmtId="0" fontId="0" fillId="14" borderId="0" xfId="0" applyFill="1"/>
    <xf numFmtId="0" fontId="18" fillId="0" borderId="0" xfId="0" applyFont="1"/>
    <xf numFmtId="0" fontId="18" fillId="0" borderId="0" xfId="0" applyFont="1" applyAlignment="1">
      <alignment horizontal="center"/>
    </xf>
    <xf numFmtId="0" fontId="19" fillId="15" borderId="0" xfId="0" applyFont="1" applyFill="1"/>
    <xf numFmtId="0" fontId="0" fillId="15" borderId="0" xfId="0" applyFill="1"/>
    <xf numFmtId="0" fontId="20" fillId="0" borderId="0" xfId="0" applyFont="1" applyAlignment="1">
      <alignment horizontal="center"/>
    </xf>
    <xf numFmtId="0" fontId="21" fillId="0" borderId="0" xfId="0" applyFont="1"/>
    <xf numFmtId="0" fontId="1" fillId="7" borderId="1" xfId="0" applyFont="1" applyFill="1" applyBorder="1"/>
    <xf numFmtId="0" fontId="8" fillId="7" borderId="2" xfId="0" applyFont="1" applyFill="1" applyBorder="1" applyAlignment="1">
      <alignment horizontal="center"/>
    </xf>
    <xf numFmtId="0" fontId="0" fillId="0" borderId="3" xfId="0" applyBorder="1"/>
    <xf numFmtId="0" fontId="12" fillId="8" borderId="4" xfId="0" applyFont="1" applyFill="1" applyBorder="1"/>
    <xf numFmtId="0" fontId="0" fillId="8" borderId="5" xfId="0" applyFill="1" applyBorder="1"/>
    <xf numFmtId="0" fontId="0" fillId="0" borderId="6" xfId="0" applyBorder="1"/>
    <xf numFmtId="0" fontId="9" fillId="0" borderId="4" xfId="0" applyFont="1" applyBorder="1"/>
    <xf numFmtId="1" fontId="6" fillId="3" borderId="5" xfId="0" applyNumberFormat="1" applyFont="1" applyFill="1" applyBorder="1" applyAlignment="1">
      <alignment horizontal="center"/>
    </xf>
    <xf numFmtId="0" fontId="13" fillId="0" borderId="4" xfId="0" applyFont="1" applyBorder="1"/>
    <xf numFmtId="1" fontId="1" fillId="0" borderId="5" xfId="0" applyNumberFormat="1" applyFont="1" applyBorder="1" applyAlignment="1">
      <alignment horizontal="center"/>
    </xf>
    <xf numFmtId="0" fontId="14" fillId="9" borderId="4" xfId="0" applyFont="1" applyFill="1" applyBorder="1"/>
    <xf numFmtId="0" fontId="0" fillId="9" borderId="5" xfId="0" applyFill="1" applyBorder="1"/>
    <xf numFmtId="0" fontId="14" fillId="0" borderId="4" xfId="0" applyFont="1" applyBorder="1"/>
    <xf numFmtId="0" fontId="15" fillId="10" borderId="4" xfId="0" applyFont="1" applyFill="1" applyBorder="1"/>
    <xf numFmtId="0" fontId="0" fillId="10" borderId="5" xfId="0" applyFill="1" applyBorder="1"/>
    <xf numFmtId="0" fontId="15" fillId="0" borderId="4" xfId="0" applyFont="1" applyBorder="1"/>
    <xf numFmtId="0" fontId="0" fillId="0" borderId="4" xfId="0" applyBorder="1"/>
    <xf numFmtId="0" fontId="0" fillId="0" borderId="5" xfId="0" applyBorder="1"/>
    <xf numFmtId="0" fontId="8" fillId="11" borderId="4" xfId="0" applyFont="1" applyFill="1" applyBorder="1"/>
    <xf numFmtId="0" fontId="0" fillId="11" borderId="5" xfId="0" applyFill="1" applyBorder="1"/>
    <xf numFmtId="0" fontId="16" fillId="0" borderId="4" xfId="0" applyFont="1" applyBorder="1"/>
    <xf numFmtId="0" fontId="1" fillId="0" borderId="5" xfId="0" applyFont="1" applyBorder="1" applyAlignment="1">
      <alignment horizontal="center"/>
    </xf>
    <xf numFmtId="0" fontId="16" fillId="0" borderId="7" xfId="0" applyFont="1" applyBorder="1"/>
    <xf numFmtId="0" fontId="17" fillId="0" borderId="8" xfId="0" applyFont="1" applyBorder="1" applyAlignment="1">
      <alignment horizontal="center"/>
    </xf>
    <xf numFmtId="0" fontId="0" fillId="0" borderId="9" xfId="0" applyBorder="1"/>
    <xf numFmtId="0" fontId="0" fillId="7" borderId="2" xfId="0" applyFill="1" applyBorder="1"/>
    <xf numFmtId="0" fontId="0" fillId="7" borderId="3" xfId="0" applyFill="1" applyBorder="1"/>
    <xf numFmtId="0" fontId="16" fillId="16" borderId="4" xfId="0" applyFont="1" applyFill="1" applyBorder="1"/>
    <xf numFmtId="0" fontId="12" fillId="16" borderId="5" xfId="0" applyFont="1" applyFill="1" applyBorder="1" applyAlignment="1">
      <alignment horizontal="center"/>
    </xf>
    <xf numFmtId="0" fontId="24" fillId="16" borderId="5" xfId="0" applyFont="1" applyFill="1" applyBorder="1" applyAlignment="1">
      <alignment horizontal="center"/>
    </xf>
    <xf numFmtId="0" fontId="25" fillId="16" borderId="5" xfId="0" applyFont="1" applyFill="1" applyBorder="1" applyAlignment="1">
      <alignment horizontal="center"/>
    </xf>
    <xf numFmtId="0" fontId="26" fillId="16" borderId="5" xfId="0" applyFont="1" applyFill="1" applyBorder="1" applyAlignment="1">
      <alignment horizontal="center"/>
    </xf>
    <xf numFmtId="0" fontId="26" fillId="16" borderId="6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27" fillId="0" borderId="4" xfId="0" applyFont="1" applyBorder="1"/>
    <xf numFmtId="0" fontId="0" fillId="3" borderId="5" xfId="0" applyFill="1" applyBorder="1" applyAlignment="1">
      <alignment horizontal="center"/>
    </xf>
    <xf numFmtId="0" fontId="27" fillId="0" borderId="7" xfId="0" applyFont="1" applyBorder="1"/>
    <xf numFmtId="0" fontId="0" fillId="3" borderId="8" xfId="0" applyFill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28" fillId="0" borderId="0" xfId="0" applyFont="1"/>
    <xf numFmtId="0" fontId="29" fillId="0" borderId="0" xfId="0" applyFont="1"/>
    <xf numFmtId="0" fontId="8" fillId="17" borderId="0" xfId="0" applyFont="1" applyFill="1"/>
    <xf numFmtId="0" fontId="0" fillId="17" borderId="0" xfId="0" applyFill="1"/>
    <xf numFmtId="0" fontId="8" fillId="18" borderId="0" xfId="0" applyFont="1" applyFill="1" applyAlignment="1">
      <alignment horizontal="center"/>
    </xf>
    <xf numFmtId="0" fontId="8" fillId="19" borderId="0" xfId="0" applyFont="1" applyFill="1" applyAlignment="1">
      <alignment horizontal="center"/>
    </xf>
    <xf numFmtId="0" fontId="8" fillId="17" borderId="0" xfId="0" applyFont="1" applyFill="1" applyAlignment="1">
      <alignment horizontal="center"/>
    </xf>
    <xf numFmtId="0" fontId="30" fillId="0" borderId="0" xfId="0" applyFont="1"/>
    <xf numFmtId="0" fontId="31" fillId="0" borderId="0" xfId="0" applyFont="1" applyAlignment="1">
      <alignment horizontal="center"/>
    </xf>
    <xf numFmtId="0" fontId="32" fillId="0" borderId="0" xfId="0" applyFont="1"/>
    <xf numFmtId="0" fontId="33" fillId="0" borderId="0" xfId="0" applyFont="1" applyAlignment="1">
      <alignment horizontal="center"/>
    </xf>
    <xf numFmtId="0" fontId="0" fillId="20" borderId="0" xfId="0" applyFill="1"/>
    <xf numFmtId="0" fontId="0" fillId="20" borderId="0" xfId="0" applyFill="1" applyAlignment="1">
      <alignment horizontal="center"/>
    </xf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1" fillId="21" borderId="0" xfId="0" applyFont="1" applyFill="1"/>
    <xf numFmtId="0" fontId="1" fillId="21" borderId="0" xfId="0" applyFont="1" applyFill="1" applyAlignment="1">
      <alignment horizontal="center"/>
    </xf>
    <xf numFmtId="0" fontId="38" fillId="0" borderId="0" xfId="0" applyFont="1"/>
    <xf numFmtId="0" fontId="39" fillId="21" borderId="0" xfId="0" applyFont="1" applyFill="1"/>
    <xf numFmtId="0" fontId="40" fillId="0" borderId="0" xfId="0" applyFont="1"/>
    <xf numFmtId="164" fontId="0" fillId="20" borderId="0" xfId="0" applyNumberForma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0" fontId="41" fillId="0" borderId="0" xfId="0" applyFont="1"/>
    <xf numFmtId="0" fontId="41" fillId="22" borderId="0" xfId="0" applyFont="1" applyFill="1"/>
    <xf numFmtId="0" fontId="42" fillId="22" borderId="0" xfId="0" applyFont="1" applyFill="1" applyAlignment="1">
      <alignment horizontal="center"/>
    </xf>
    <xf numFmtId="0" fontId="1" fillId="22" borderId="0" xfId="0" applyFont="1" applyFill="1" applyAlignment="1">
      <alignment horizontal="center"/>
    </xf>
    <xf numFmtId="166" fontId="18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0" fillId="21" borderId="0" xfId="0" applyFill="1"/>
    <xf numFmtId="167" fontId="0" fillId="20" borderId="0" xfId="0" applyNumberFormat="1" applyFill="1" applyAlignment="1">
      <alignment horizontal="center"/>
    </xf>
    <xf numFmtId="0" fontId="0" fillId="22" borderId="0" xfId="0" applyFill="1"/>
    <xf numFmtId="168" fontId="0" fillId="20" borderId="0" xfId="0" applyNumberFormat="1" applyFill="1" applyAlignment="1">
      <alignment horizontal="center"/>
    </xf>
    <xf numFmtId="3" fontId="0" fillId="20" borderId="0" xfId="0" applyNumberFormat="1" applyFill="1" applyAlignment="1">
      <alignment horizontal="center"/>
    </xf>
    <xf numFmtId="0" fontId="43" fillId="0" borderId="0" xfId="0" applyFont="1"/>
    <xf numFmtId="0" fontId="44" fillId="0" borderId="0" xfId="0" applyFont="1" applyAlignment="1">
      <alignment horizontal="center"/>
    </xf>
    <xf numFmtId="0" fontId="45" fillId="0" borderId="0" xfId="0" applyFont="1"/>
    <xf numFmtId="0" fontId="46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/>
    <xf numFmtId="0" fontId="0" fillId="0" borderId="0" xfId="0" applyAlignment="1">
      <alignment horizontal="center" wrapText="1"/>
    </xf>
    <xf numFmtId="0" fontId="49" fillId="18" borderId="0" xfId="0" applyFont="1" applyFill="1"/>
    <xf numFmtId="0" fontId="0" fillId="18" borderId="0" xfId="0" applyFill="1"/>
    <xf numFmtId="0" fontId="49" fillId="19" borderId="0" xfId="0" applyFont="1" applyFill="1"/>
    <xf numFmtId="0" fontId="0" fillId="19" borderId="0" xfId="0" applyFill="1"/>
    <xf numFmtId="0" fontId="50" fillId="0" borderId="0" xfId="0" applyFont="1" applyAlignment="1">
      <alignment horizontal="center"/>
    </xf>
    <xf numFmtId="0" fontId="51" fillId="0" borderId="0" xfId="0" applyFont="1"/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19" borderId="0" xfId="0" applyFill="1" applyAlignment="1">
      <alignment wrapText="1"/>
    </xf>
    <xf numFmtId="0" fontId="53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38" fillId="0" borderId="0" xfId="0" applyFont="1" applyAlignment="1">
      <alignment horizontal="center" wrapText="1"/>
    </xf>
    <xf numFmtId="0" fontId="62" fillId="0" borderId="0" xfId="0" applyFont="1"/>
    <xf numFmtId="0" fontId="63" fillId="0" borderId="0" xfId="0" applyFont="1" applyAlignment="1">
      <alignment horizontal="center"/>
    </xf>
    <xf numFmtId="168" fontId="64" fillId="20" borderId="0" xfId="0" applyNumberFormat="1" applyFont="1" applyFill="1" applyAlignment="1">
      <alignment horizontal="center"/>
    </xf>
    <xf numFmtId="168" fontId="20" fillId="0" borderId="0" xfId="0" applyNumberFormat="1" applyFont="1" applyAlignment="1">
      <alignment horizontal="center"/>
    </xf>
    <xf numFmtId="0" fontId="65" fillId="0" borderId="0" xfId="0" applyFont="1"/>
    <xf numFmtId="0" fontId="66" fillId="0" borderId="0" xfId="0" applyFont="1"/>
    <xf numFmtId="0" fontId="1" fillId="0" borderId="0" xfId="0" applyFont="1" applyAlignment="1">
      <alignment horizontal="center" wrapText="1"/>
    </xf>
    <xf numFmtId="0" fontId="8" fillId="19" borderId="10" xfId="0" applyFont="1" applyFill="1" applyBorder="1"/>
    <xf numFmtId="0" fontId="8" fillId="19" borderId="11" xfId="0" applyFont="1" applyFill="1" applyBorder="1"/>
    <xf numFmtId="0" fontId="8" fillId="19" borderId="11" xfId="0" applyFont="1" applyFill="1" applyBorder="1" applyAlignment="1">
      <alignment horizontal="center" wrapText="1"/>
    </xf>
    <xf numFmtId="0" fontId="8" fillId="19" borderId="12" xfId="0" applyFont="1" applyFill="1" applyBorder="1" applyAlignment="1">
      <alignment wrapText="1"/>
    </xf>
    <xf numFmtId="0" fontId="0" fillId="0" borderId="13" xfId="0" applyBorder="1"/>
    <xf numFmtId="0" fontId="0" fillId="0" borderId="14" xfId="0" applyBorder="1"/>
    <xf numFmtId="0" fontId="56" fillId="0" borderId="14" xfId="0" applyFont="1" applyBorder="1" applyAlignment="1">
      <alignment horizontal="center" wrapText="1"/>
    </xf>
    <xf numFmtId="0" fontId="0" fillId="0" borderId="15" xfId="0" applyBorder="1" applyAlignment="1">
      <alignment wrapText="1"/>
    </xf>
    <xf numFmtId="0" fontId="0" fillId="0" borderId="16" xfId="0" applyBorder="1"/>
    <xf numFmtId="0" fontId="0" fillId="0" borderId="17" xfId="0" applyBorder="1"/>
    <xf numFmtId="0" fontId="56" fillId="0" borderId="17" xfId="0" applyFont="1" applyBorder="1" applyAlignment="1">
      <alignment horizontal="center" wrapText="1"/>
    </xf>
    <xf numFmtId="0" fontId="0" fillId="0" borderId="18" xfId="0" applyBorder="1" applyAlignment="1">
      <alignment wrapText="1"/>
    </xf>
    <xf numFmtId="0" fontId="8" fillId="19" borderId="11" xfId="0" applyFont="1" applyFill="1" applyBorder="1" applyAlignment="1">
      <alignment horizontal="center"/>
    </xf>
    <xf numFmtId="0" fontId="8" fillId="19" borderId="12" xfId="0" applyFont="1" applyFill="1" applyBorder="1" applyAlignment="1">
      <alignment horizontal="center" wrapText="1"/>
    </xf>
    <xf numFmtId="1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68" fontId="0" fillId="0" borderId="14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41" fillId="0" borderId="18" xfId="0" applyFont="1" applyBorder="1" applyAlignment="1">
      <alignment wrapText="1"/>
    </xf>
    <xf numFmtId="0" fontId="8" fillId="19" borderId="11" xfId="0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7" xfId="0" applyBorder="1" applyAlignment="1">
      <alignment wrapText="1"/>
    </xf>
    <xf numFmtId="0" fontId="56" fillId="0" borderId="14" xfId="0" applyFont="1" applyBorder="1" applyAlignment="1">
      <alignment horizontal="center"/>
    </xf>
    <xf numFmtId="0" fontId="56" fillId="0" borderId="17" xfId="0" applyFont="1" applyBorder="1" applyAlignment="1">
      <alignment horizontal="center"/>
    </xf>
    <xf numFmtId="9" fontId="1" fillId="0" borderId="14" xfId="0" applyNumberFormat="1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8" fillId="19" borderId="10" xfId="0" applyFont="1" applyFill="1" applyBorder="1" applyAlignment="1">
      <alignment wrapText="1"/>
    </xf>
    <xf numFmtId="0" fontId="0" fillId="0" borderId="11" xfId="0" applyBorder="1" applyAlignment="1">
      <alignment wrapText="1"/>
    </xf>
    <xf numFmtId="0" fontId="8" fillId="17" borderId="12" xfId="0" applyFont="1" applyFill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6" xfId="0" applyBorder="1" applyAlignment="1">
      <alignment wrapText="1"/>
    </xf>
    <xf numFmtId="0" fontId="62" fillId="0" borderId="0" xfId="0" applyFont="1" applyAlignment="1">
      <alignment horizontal="center" wrapText="1"/>
    </xf>
    <xf numFmtId="0" fontId="20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1" fillId="23" borderId="0" xfId="0" applyFont="1" applyFill="1"/>
    <xf numFmtId="0" fontId="1" fillId="23" borderId="0" xfId="0" applyFont="1" applyFill="1" applyAlignment="1">
      <alignment horizontal="center"/>
    </xf>
    <xf numFmtId="0" fontId="1" fillId="24" borderId="0" xfId="0" applyFont="1" applyFill="1" applyAlignment="1">
      <alignment horizontal="center"/>
    </xf>
    <xf numFmtId="0" fontId="1" fillId="25" borderId="0" xfId="0" applyFont="1" applyFill="1" applyAlignment="1">
      <alignment horizontal="center"/>
    </xf>
    <xf numFmtId="0" fontId="71" fillId="0" borderId="0" xfId="0" applyFont="1"/>
    <xf numFmtId="0" fontId="0" fillId="0" borderId="19" xfId="0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" fillId="25" borderId="19" xfId="0" applyFont="1" applyFill="1" applyBorder="1" applyAlignment="1">
      <alignment horizontal="center"/>
    </xf>
    <xf numFmtId="0" fontId="1" fillId="26" borderId="19" xfId="0" applyFont="1" applyFill="1" applyBorder="1" applyAlignment="1">
      <alignment horizontal="center"/>
    </xf>
    <xf numFmtId="0" fontId="1" fillId="27" borderId="19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23" borderId="19" xfId="0" applyFont="1" applyFill="1" applyBorder="1" applyAlignment="1">
      <alignment horizontal="center"/>
    </xf>
    <xf numFmtId="0" fontId="1" fillId="24" borderId="19" xfId="0" applyFont="1" applyFill="1" applyBorder="1" applyAlignment="1">
      <alignment horizontal="center"/>
    </xf>
    <xf numFmtId="0" fontId="1" fillId="23" borderId="19" xfId="0" applyFont="1" applyFill="1" applyBorder="1"/>
    <xf numFmtId="0" fontId="1" fillId="0" borderId="19" xfId="0" applyFont="1" applyBorder="1"/>
    <xf numFmtId="0" fontId="41" fillId="0" borderId="19" xfId="0" applyFont="1" applyBorder="1" applyAlignment="1">
      <alignment horizontal="center"/>
    </xf>
  </cellXfs>
  <cellStyles count="1">
    <cellStyle name="Normal" xfId="0" builtinId="0"/>
  </cellStyles>
  <dxfs count="32">
    <dxf>
      <font>
        <b/>
        <i val="0"/>
        <color rgb="FF006100"/>
      </font>
    </dxf>
    <dxf>
      <font>
        <b/>
        <i val="0"/>
        <color rgb="FFC00000"/>
      </font>
    </dxf>
    <dxf>
      <font>
        <color rgb="FF808080"/>
      </font>
    </dxf>
    <dxf>
      <font>
        <color rgb="FF006100"/>
      </font>
    </dxf>
    <dxf>
      <font>
        <color rgb="FFC00000"/>
      </font>
    </dxf>
    <dxf>
      <font>
        <color rgb="FFFF8C00"/>
      </font>
      <fill>
        <patternFill patternType="solid">
          <fgColor indexed="64"/>
          <bgColor rgb="FFFFF2CC"/>
        </patternFill>
      </fill>
    </dxf>
    <dxf>
      <font>
        <color rgb="FFFF8C00"/>
      </font>
      <fill>
        <patternFill patternType="solid">
          <fgColor indexed="64"/>
          <bgColor rgb="FFFFF2CC"/>
        </patternFill>
      </fill>
    </dxf>
    <dxf>
      <font>
        <color rgb="FFC00000"/>
      </font>
      <fill>
        <patternFill patternType="solid">
          <fgColor indexed="64"/>
          <bgColor rgb="FFFCE4EC"/>
        </patternFill>
      </fill>
    </dxf>
    <dxf>
      <font>
        <color rgb="FF008000"/>
      </font>
      <fill>
        <patternFill patternType="solid">
          <fgColor indexed="64"/>
          <bgColor rgb="FFE2EFDA"/>
        </patternFill>
      </fill>
    </dxf>
    <dxf>
      <font>
        <color rgb="FF800000"/>
      </font>
    </dxf>
    <dxf>
      <font>
        <color rgb="FF80008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8000"/>
      </font>
    </dxf>
    <dxf>
      <font>
        <color rgb="FF1F4E79"/>
      </font>
      <fill>
        <patternFill patternType="solid">
          <fgColor indexed="64"/>
          <bgColor rgb="FFD9E2F3"/>
        </patternFill>
      </fill>
    </dxf>
    <dxf>
      <font>
        <color rgb="FFC00000"/>
      </font>
      <fill>
        <patternFill patternType="solid">
          <fgColor indexed="64"/>
          <bgColor rgb="FFFCE4EC"/>
        </patternFill>
      </fill>
    </dxf>
    <dxf>
      <font>
        <color rgb="FF008000"/>
      </font>
      <fill>
        <patternFill patternType="solid">
          <fgColor indexed="64"/>
          <bgColor rgb="FFE2EFDA"/>
        </patternFill>
      </fill>
    </dxf>
    <dxf>
      <font>
        <color rgb="FF155724"/>
      </font>
      <fill>
        <patternFill patternType="solid">
          <fgColor indexed="64"/>
          <bgColor rgb="FFD4EDDA"/>
        </patternFill>
      </fill>
    </dxf>
    <dxf>
      <font>
        <color rgb="FF856404"/>
      </font>
      <fill>
        <patternFill patternType="solid">
          <fgColor indexed="64"/>
          <bgColor rgb="FFFFF3CD"/>
        </patternFill>
      </fill>
    </dxf>
    <dxf>
      <font>
        <color rgb="FF721C24"/>
      </font>
      <fill>
        <patternFill patternType="solid">
          <fgColor indexed="64"/>
          <bgColor rgb="FFF8D7DA"/>
        </patternFill>
      </fill>
    </dxf>
    <dxf>
      <font>
        <color rgb="FFFFFFFF"/>
      </font>
      <fill>
        <patternFill patternType="solid">
          <fgColor indexed="64"/>
          <bgColor rgb="FFC0392B"/>
        </patternFill>
      </fill>
    </dxf>
    <dxf>
      <font>
        <color rgb="FF721C24"/>
      </font>
      <fill>
        <patternFill patternType="solid">
          <fgColor indexed="64"/>
          <bgColor rgb="FFF8D7DA"/>
        </patternFill>
      </fill>
    </dxf>
    <dxf>
      <font>
        <color rgb="FF856404"/>
      </font>
      <fill>
        <patternFill patternType="solid">
          <fgColor indexed="64"/>
          <bgColor rgb="FFFFF3CD"/>
        </patternFill>
      </fill>
    </dxf>
    <dxf>
      <font>
        <color rgb="FF155724"/>
      </font>
      <fill>
        <patternFill patternType="solid">
          <fgColor indexed="64"/>
          <bgColor rgb="FFD4EDDA"/>
        </patternFill>
      </fill>
    </dxf>
    <dxf>
      <font>
        <color rgb="FF155724"/>
      </font>
      <fill>
        <patternFill patternType="solid">
          <fgColor indexed="64"/>
          <bgColor rgb="FFD4EDDA"/>
        </patternFill>
      </fill>
    </dxf>
    <dxf>
      <font>
        <color rgb="FF856404"/>
      </font>
      <fill>
        <patternFill patternType="solid">
          <fgColor indexed="64"/>
          <bgColor rgb="FFFFF3CD"/>
        </patternFill>
      </fill>
    </dxf>
    <dxf>
      <font>
        <color rgb="FF721C24"/>
      </font>
      <fill>
        <patternFill patternType="solid">
          <fgColor indexed="64"/>
          <bgColor rgb="FFF8D7DA"/>
        </patternFill>
      </fill>
    </dxf>
    <dxf>
      <font>
        <color rgb="FFFFFFFF"/>
      </font>
      <fill>
        <patternFill patternType="solid">
          <fgColor indexed="64"/>
          <bgColor rgb="FFC0392B"/>
        </patternFill>
      </fill>
    </dxf>
    <dxf>
      <font>
        <color rgb="FF721C24"/>
      </font>
      <fill>
        <patternFill patternType="solid">
          <fgColor indexed="64"/>
          <bgColor rgb="FFF8D7DA"/>
        </patternFill>
      </fill>
    </dxf>
    <dxf>
      <font>
        <color rgb="FF856404"/>
      </font>
      <fill>
        <patternFill patternType="solid">
          <fgColor indexed="64"/>
          <bgColor rgb="FFFFF3CD"/>
        </patternFill>
      </fill>
    </dxf>
    <dxf>
      <font>
        <color rgb="FF155724"/>
      </font>
      <fill>
        <patternFill patternType="solid">
          <fgColor indexed="64"/>
          <bgColor rgb="FFD4ED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  <wetp:taskpane dockstate="right" visibility="0" width="671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48FE974-E55B-47D7-980A-39D31C5D65D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5d98a70-2c3e-41c7-adb4-bc1ff182080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CB0B0E6-D71D-4373-B8AF-1786B86E8171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4c275545-3a23-4396-97b0-d12e58da60b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17C7-5879-47B5-B9D8-3369F9243136}">
  <dimension ref="A1:F76"/>
  <sheetViews>
    <sheetView workbookViewId="0"/>
  </sheetViews>
  <sheetFormatPr defaultRowHeight="14.4" x14ac:dyDescent="0.3"/>
  <cols>
    <col min="1" max="1" width="51.88671875" customWidth="1"/>
    <col min="2" max="6" width="18.5546875" customWidth="1"/>
  </cols>
  <sheetData>
    <row r="1" spans="1:6" ht="18" x14ac:dyDescent="0.35">
      <c r="A1" s="74" t="s">
        <v>0</v>
      </c>
    </row>
    <row r="2" spans="1:6" x14ac:dyDescent="0.3">
      <c r="A2" s="2" t="s">
        <v>1</v>
      </c>
    </row>
    <row r="4" spans="1:6" x14ac:dyDescent="0.3">
      <c r="A4" s="3" t="s">
        <v>2</v>
      </c>
    </row>
    <row r="5" spans="1:6" x14ac:dyDescent="0.3">
      <c r="A5" t="s">
        <v>3</v>
      </c>
    </row>
    <row r="6" spans="1:6" x14ac:dyDescent="0.3">
      <c r="A6" t="s">
        <v>4</v>
      </c>
    </row>
    <row r="7" spans="1:6" x14ac:dyDescent="0.3">
      <c r="A7" t="s">
        <v>5</v>
      </c>
    </row>
    <row r="8" spans="1:6" x14ac:dyDescent="0.3">
      <c r="A8" t="s">
        <v>6</v>
      </c>
    </row>
    <row r="10" spans="1:6" ht="15.6" x14ac:dyDescent="0.3">
      <c r="A10" s="4" t="s">
        <v>7</v>
      </c>
      <c r="C10" s="5" t="s">
        <v>8</v>
      </c>
    </row>
    <row r="12" spans="1:6" x14ac:dyDescent="0.3">
      <c r="A12" s="6" t="s">
        <v>9</v>
      </c>
      <c r="B12" s="7"/>
      <c r="C12" s="7"/>
      <c r="D12" s="7"/>
      <c r="E12" s="7"/>
      <c r="F12" s="7"/>
    </row>
    <row r="13" spans="1:6" x14ac:dyDescent="0.3">
      <c r="A13" s="8" t="s">
        <v>10</v>
      </c>
    </row>
    <row r="14" spans="1:6" x14ac:dyDescent="0.3">
      <c r="A14" s="8" t="s">
        <v>11</v>
      </c>
    </row>
    <row r="15" spans="1:6" x14ac:dyDescent="0.3">
      <c r="A15" s="8" t="s">
        <v>12</v>
      </c>
    </row>
    <row r="17" spans="1:6" x14ac:dyDescent="0.3">
      <c r="A17" s="9" t="s">
        <v>13</v>
      </c>
      <c r="B17" s="10"/>
      <c r="C17" s="10"/>
      <c r="D17" s="10"/>
      <c r="E17" s="10"/>
      <c r="F17" s="10"/>
    </row>
    <row r="18" spans="1:6" x14ac:dyDescent="0.3">
      <c r="A18" s="8" t="s">
        <v>14</v>
      </c>
    </row>
    <row r="19" spans="1:6" x14ac:dyDescent="0.3">
      <c r="A19" s="8" t="s">
        <v>15</v>
      </c>
    </row>
    <row r="20" spans="1:6" x14ac:dyDescent="0.3">
      <c r="A20" s="8" t="s">
        <v>16</v>
      </c>
    </row>
    <row r="22" spans="1:6" x14ac:dyDescent="0.3">
      <c r="A22" s="11" t="s">
        <v>17</v>
      </c>
      <c r="B22" s="12"/>
      <c r="C22" s="12"/>
      <c r="D22" s="12"/>
      <c r="E22" s="12"/>
      <c r="F22" s="12"/>
    </row>
    <row r="23" spans="1:6" x14ac:dyDescent="0.3">
      <c r="A23" s="8" t="s">
        <v>18</v>
      </c>
    </row>
    <row r="24" spans="1:6" x14ac:dyDescent="0.3">
      <c r="A24" s="8" t="s">
        <v>19</v>
      </c>
    </row>
    <row r="25" spans="1:6" x14ac:dyDescent="0.3">
      <c r="A25" s="8" t="s">
        <v>20</v>
      </c>
    </row>
    <row r="27" spans="1:6" ht="18" x14ac:dyDescent="0.35">
      <c r="A27" s="13" t="s">
        <v>21</v>
      </c>
    </row>
    <row r="28" spans="1:6" x14ac:dyDescent="0.3">
      <c r="A28" s="14" t="s">
        <v>22</v>
      </c>
    </row>
    <row r="30" spans="1:6" x14ac:dyDescent="0.3">
      <c r="A30" s="33"/>
      <c r="B30" s="34" t="s">
        <v>23</v>
      </c>
      <c r="C30" s="34" t="s">
        <v>24</v>
      </c>
      <c r="D30" s="34" t="s">
        <v>25</v>
      </c>
      <c r="E30" s="34" t="s">
        <v>26</v>
      </c>
      <c r="F30" s="35"/>
    </row>
    <row r="31" spans="1:6" x14ac:dyDescent="0.3">
      <c r="A31" s="36" t="s">
        <v>27</v>
      </c>
      <c r="B31" s="37"/>
      <c r="C31" s="37"/>
      <c r="D31" s="37"/>
      <c r="E31" s="37"/>
      <c r="F31" s="38"/>
    </row>
    <row r="32" spans="1:6" x14ac:dyDescent="0.3">
      <c r="A32" s="39" t="s">
        <v>28</v>
      </c>
      <c r="B32" s="40"/>
      <c r="C32" s="40"/>
      <c r="D32" s="40"/>
      <c r="E32" s="40"/>
      <c r="F32" s="38"/>
    </row>
    <row r="33" spans="1:6" x14ac:dyDescent="0.3">
      <c r="A33" s="39" t="s">
        <v>29</v>
      </c>
      <c r="B33" s="40"/>
      <c r="C33" s="40"/>
      <c r="D33" s="40"/>
      <c r="E33" s="40"/>
      <c r="F33" s="38"/>
    </row>
    <row r="34" spans="1:6" x14ac:dyDescent="0.3">
      <c r="A34" s="39" t="s">
        <v>30</v>
      </c>
      <c r="B34" s="40"/>
      <c r="C34" s="40"/>
      <c r="D34" s="40"/>
      <c r="E34" s="40"/>
      <c r="F34" s="38"/>
    </row>
    <row r="35" spans="1:6" x14ac:dyDescent="0.3">
      <c r="A35" s="41" t="s">
        <v>31</v>
      </c>
      <c r="B35" s="42">
        <f>SUM(B32:B34)</f>
        <v>0</v>
      </c>
      <c r="C35" s="42">
        <f>SUM(C32:C34)</f>
        <v>0</v>
      </c>
      <c r="D35" s="42">
        <f>SUM(D32:D34)</f>
        <v>0</v>
      </c>
      <c r="E35" s="42">
        <f>SUM(E32:E34)</f>
        <v>0</v>
      </c>
      <c r="F35" s="38"/>
    </row>
    <row r="36" spans="1:6" x14ac:dyDescent="0.3">
      <c r="A36" s="43" t="s">
        <v>32</v>
      </c>
      <c r="B36" s="44"/>
      <c r="C36" s="44"/>
      <c r="D36" s="44"/>
      <c r="E36" s="44"/>
      <c r="F36" s="38"/>
    </row>
    <row r="37" spans="1:6" x14ac:dyDescent="0.3">
      <c r="A37" s="39" t="s">
        <v>33</v>
      </c>
      <c r="B37" s="40"/>
      <c r="C37" s="40"/>
      <c r="D37" s="40"/>
      <c r="E37" s="40"/>
      <c r="F37" s="38"/>
    </row>
    <row r="38" spans="1:6" x14ac:dyDescent="0.3">
      <c r="A38" s="39" t="s">
        <v>34</v>
      </c>
      <c r="B38" s="40"/>
      <c r="C38" s="40"/>
      <c r="D38" s="40"/>
      <c r="E38" s="40"/>
      <c r="F38" s="38"/>
    </row>
    <row r="39" spans="1:6" x14ac:dyDescent="0.3">
      <c r="A39" s="39" t="s">
        <v>35</v>
      </c>
      <c r="B39" s="40"/>
      <c r="C39" s="40"/>
      <c r="D39" s="40"/>
      <c r="E39" s="40"/>
      <c r="F39" s="38"/>
    </row>
    <row r="40" spans="1:6" x14ac:dyDescent="0.3">
      <c r="A40" s="45" t="s">
        <v>36</v>
      </c>
      <c r="B40" s="42">
        <f>SUM(B37:B39)</f>
        <v>0</v>
      </c>
      <c r="C40" s="42">
        <f>SUM(C37:C39)</f>
        <v>0</v>
      </c>
      <c r="D40" s="42">
        <f>SUM(D37:D39)</f>
        <v>0</v>
      </c>
      <c r="E40" s="42">
        <f>SUM(E37:E39)</f>
        <v>0</v>
      </c>
      <c r="F40" s="38"/>
    </row>
    <row r="41" spans="1:6" x14ac:dyDescent="0.3">
      <c r="A41" s="46" t="s">
        <v>37</v>
      </c>
      <c r="B41" s="47"/>
      <c r="C41" s="47"/>
      <c r="D41" s="47"/>
      <c r="E41" s="47"/>
      <c r="F41" s="38"/>
    </row>
    <row r="42" spans="1:6" x14ac:dyDescent="0.3">
      <c r="A42" s="39" t="s">
        <v>38</v>
      </c>
      <c r="B42" s="40"/>
      <c r="C42" s="40"/>
      <c r="D42" s="40"/>
      <c r="E42" s="40"/>
      <c r="F42" s="38"/>
    </row>
    <row r="43" spans="1:6" x14ac:dyDescent="0.3">
      <c r="A43" s="39" t="s">
        <v>39</v>
      </c>
      <c r="B43" s="40"/>
      <c r="C43" s="40"/>
      <c r="D43" s="40"/>
      <c r="E43" s="40"/>
      <c r="F43" s="38"/>
    </row>
    <row r="44" spans="1:6" x14ac:dyDescent="0.3">
      <c r="A44" s="39" t="s">
        <v>40</v>
      </c>
      <c r="B44" s="40"/>
      <c r="C44" s="40"/>
      <c r="D44" s="40"/>
      <c r="E44" s="40"/>
      <c r="F44" s="38"/>
    </row>
    <row r="45" spans="1:6" x14ac:dyDescent="0.3">
      <c r="A45" s="48" t="s">
        <v>41</v>
      </c>
      <c r="B45" s="42">
        <f>SUM(B42:B44)</f>
        <v>0</v>
      </c>
      <c r="C45" s="42">
        <f>SUM(C42:C44)</f>
        <v>0</v>
      </c>
      <c r="D45" s="42">
        <f>SUM(D42:D44)</f>
        <v>0</v>
      </c>
      <c r="E45" s="42">
        <f>SUM(E42:E44)</f>
        <v>0</v>
      </c>
      <c r="F45" s="38"/>
    </row>
    <row r="46" spans="1:6" x14ac:dyDescent="0.3">
      <c r="A46" s="49"/>
      <c r="B46" s="50"/>
      <c r="C46" s="50"/>
      <c r="D46" s="50"/>
      <c r="E46" s="50"/>
      <c r="F46" s="38"/>
    </row>
    <row r="47" spans="1:6" x14ac:dyDescent="0.3">
      <c r="A47" s="51" t="s">
        <v>42</v>
      </c>
      <c r="B47" s="52"/>
      <c r="C47" s="52"/>
      <c r="D47" s="52"/>
      <c r="E47" s="52"/>
      <c r="F47" s="38"/>
    </row>
    <row r="48" spans="1:6" x14ac:dyDescent="0.3">
      <c r="A48" s="53" t="s">
        <v>43</v>
      </c>
      <c r="B48" s="54" t="str">
        <f>B35&amp;"-"&amp;B40&amp;"-"&amp;B45</f>
        <v>0-0-0</v>
      </c>
      <c r="C48" s="54" t="str">
        <f>C35&amp;"-"&amp;C40&amp;"-"&amp;C45</f>
        <v>0-0-0</v>
      </c>
      <c r="D48" s="54" t="str">
        <f>D35&amp;"-"&amp;D40&amp;"-"&amp;D45</f>
        <v>0-0-0</v>
      </c>
      <c r="E48" s="54" t="str">
        <f>E35&amp;"-"&amp;E40&amp;"-"&amp;E45</f>
        <v>0-0-0</v>
      </c>
      <c r="F48" s="38"/>
    </row>
    <row r="49" spans="1:6" x14ac:dyDescent="0.3">
      <c r="A49" s="55" t="s">
        <v>44</v>
      </c>
      <c r="B49" s="56" t="str">
        <f>IF(AND(B35=3,B40=3,B45=3),"FULL TRILEMMA",IF((B35=3)+(B40=3)+(B45=3)&gt;=2,"PARTIAL TRILEMMA",IF(MAX(B35,B40,B45)&gt;=2,"TENSION","LOW CONFLICT")))</f>
        <v>LOW CONFLICT</v>
      </c>
      <c r="C49" s="56" t="str">
        <f>IF(AND(C35=3,C40=3,C45=3),"FULL TRILEMMA",IF((C35=3)+(C40=3)+(C45=3)&gt;=2,"PARTIAL TRILEMMA",IF(MAX(C35,C40,C45)&gt;=2,"TENSION","LOW CONFLICT")))</f>
        <v>LOW CONFLICT</v>
      </c>
      <c r="D49" s="56" t="str">
        <f>IF(AND(D35=3,D40=3,D45=3),"FULL TRILEMMA",IF((D35=3)+(D40=3)+(D45=3)&gt;=2,"PARTIAL TRILEMMA",IF(MAX(D35,D40,D45)&gt;=2,"TENSION","LOW CONFLICT")))</f>
        <v>LOW CONFLICT</v>
      </c>
      <c r="E49" s="56" t="str">
        <f>IF(AND(E35=3,E40=3,E45=3),"FULL TRILEMMA",IF((E35=3)+(E40=3)+(E45=3)&gt;=2,"PARTIAL TRILEMMA",IF(MAX(E35,E40,E45)&gt;=2,"TENSION","LOW CONFLICT")))</f>
        <v>LOW CONFLICT</v>
      </c>
      <c r="F49" s="57"/>
    </row>
    <row r="51" spans="1:6" ht="18" x14ac:dyDescent="0.35">
      <c r="A51" s="13" t="s">
        <v>45</v>
      </c>
    </row>
    <row r="52" spans="1:6" x14ac:dyDescent="0.3">
      <c r="A52" s="14" t="s">
        <v>46</v>
      </c>
    </row>
    <row r="54" spans="1:6" x14ac:dyDescent="0.3">
      <c r="A54" s="20" t="s">
        <v>47</v>
      </c>
      <c r="B54" s="21"/>
      <c r="C54" s="21"/>
      <c r="D54" s="21"/>
      <c r="E54" s="21"/>
      <c r="F54" s="21"/>
    </row>
    <row r="55" spans="1:6" x14ac:dyDescent="0.3">
      <c r="A55" s="22"/>
      <c r="B55" s="23" t="s">
        <v>23</v>
      </c>
      <c r="C55" s="23" t="s">
        <v>24</v>
      </c>
      <c r="D55" s="23" t="s">
        <v>25</v>
      </c>
      <c r="E55" s="23" t="s">
        <v>26</v>
      </c>
      <c r="F55" s="23" t="s">
        <v>48</v>
      </c>
    </row>
    <row r="56" spans="1:6" x14ac:dyDescent="0.3">
      <c r="A56" s="8" t="s">
        <v>49</v>
      </c>
      <c r="B56" s="24">
        <f>B35</f>
        <v>0</v>
      </c>
      <c r="C56" s="24">
        <f>C35</f>
        <v>0</v>
      </c>
      <c r="D56" s="24">
        <f>D35</f>
        <v>0</v>
      </c>
      <c r="E56" s="24">
        <f>E35</f>
        <v>0</v>
      </c>
      <c r="F56" s="16">
        <f>MAX(B56:E56)-MIN(B56:E56)</f>
        <v>0</v>
      </c>
    </row>
    <row r="57" spans="1:6" x14ac:dyDescent="0.3">
      <c r="A57" s="8" t="s">
        <v>50</v>
      </c>
      <c r="B57" s="24">
        <f>B40</f>
        <v>0</v>
      </c>
      <c r="C57" s="24">
        <f>C40</f>
        <v>0</v>
      </c>
      <c r="D57" s="24">
        <f>D40</f>
        <v>0</v>
      </c>
      <c r="E57" s="24">
        <f>E40</f>
        <v>0</v>
      </c>
      <c r="F57" s="16">
        <f>MAX(B57:E57)-MIN(B57:E57)</f>
        <v>0</v>
      </c>
    </row>
    <row r="58" spans="1:6" x14ac:dyDescent="0.3">
      <c r="A58" s="8" t="s">
        <v>51</v>
      </c>
      <c r="B58" s="24">
        <f>B45</f>
        <v>0</v>
      </c>
      <c r="C58" s="24">
        <f>C45</f>
        <v>0</v>
      </c>
      <c r="D58" s="24">
        <f>D45</f>
        <v>0</v>
      </c>
      <c r="E58" s="24">
        <f>E45</f>
        <v>0</v>
      </c>
      <c r="F58" s="16">
        <f>MAX(B58:E58)-MIN(B58:E58)</f>
        <v>0</v>
      </c>
    </row>
    <row r="60" spans="1:6" x14ac:dyDescent="0.3">
      <c r="A60" s="25" t="s">
        <v>52</v>
      </c>
      <c r="B60" s="26"/>
      <c r="C60" s="26"/>
      <c r="D60" s="26"/>
      <c r="E60" s="26"/>
      <c r="F60" s="26"/>
    </row>
    <row r="61" spans="1:6" x14ac:dyDescent="0.3">
      <c r="A61" s="8" t="s">
        <v>53</v>
      </c>
      <c r="F61" s="16">
        <f>E56-B56</f>
        <v>0</v>
      </c>
    </row>
    <row r="62" spans="1:6" x14ac:dyDescent="0.3">
      <c r="A62" s="8" t="s">
        <v>54</v>
      </c>
      <c r="F62" s="16">
        <f>E57-B57</f>
        <v>0</v>
      </c>
    </row>
    <row r="63" spans="1:6" x14ac:dyDescent="0.3">
      <c r="A63" s="8" t="s">
        <v>55</v>
      </c>
      <c r="F63" s="16">
        <f>E58-B58</f>
        <v>0</v>
      </c>
    </row>
    <row r="64" spans="1:6" ht="15.6" x14ac:dyDescent="0.3">
      <c r="A64" s="19" t="s">
        <v>56</v>
      </c>
      <c r="F64" s="28">
        <f>MAX(0,F61)+MAX(0,F62)+MAX(0,ABS(F63))</f>
        <v>0</v>
      </c>
    </row>
    <row r="66" spans="1:6" ht="18" x14ac:dyDescent="0.35">
      <c r="A66" s="29" t="s">
        <v>57</v>
      </c>
      <c r="B66" s="30"/>
      <c r="C66" s="30"/>
      <c r="D66" s="30"/>
      <c r="E66" s="30"/>
      <c r="F66" s="30"/>
    </row>
    <row r="67" spans="1:6" ht="18" x14ac:dyDescent="0.35">
      <c r="A67" s="27" t="s">
        <v>58</v>
      </c>
      <c r="B67" s="31" t="str">
        <f>IF(F64=0,"COHERENT",IF(F64&lt;=2,"MILD TENSION",IF(F64&lt;=4,"INCOHERENT","SEVERE COST EXPORT")))</f>
        <v>COHERENT</v>
      </c>
    </row>
    <row r="69" spans="1:6" x14ac:dyDescent="0.3">
      <c r="A69" s="15" t="s">
        <v>59</v>
      </c>
      <c r="B69" s="32" t="str">
        <f>IF(F64=0,"Position is internally consistent across social distance. Same moral logic at every level.",IF(AND(F61&gt;0,F62&lt;0),"Demands justice from system while consuming mercy locally. Cost is exported upward to strangers.",IF(AND(F61&gt;0,F63&gt;0),"Demands justice AND claims free will at distance. Wants accountability for others, freedom for self.",IF(F62&gt;0,"Expects more mercy from strangers than from family. Unusual — may indicate entitlement posture.","Mixed asymmetry detected. Review gradient scores for specifics."))))</f>
        <v>Position is internally consistent across social distance. Same moral logic at every level.</v>
      </c>
    </row>
    <row r="71" spans="1:6" x14ac:dyDescent="0.3">
      <c r="A71" s="17" t="s">
        <v>60</v>
      </c>
      <c r="B71" s="18"/>
      <c r="C71" s="18"/>
      <c r="D71" s="18"/>
      <c r="E71" s="18"/>
      <c r="F71" s="18"/>
    </row>
    <row r="72" spans="1:6" x14ac:dyDescent="0.3">
      <c r="A72" s="8" t="s">
        <v>61</v>
      </c>
    </row>
    <row r="73" spans="1:6" x14ac:dyDescent="0.3">
      <c r="A73" s="19" t="s">
        <v>62</v>
      </c>
    </row>
    <row r="74" spans="1:6" x14ac:dyDescent="0.3">
      <c r="A74" s="14" t="s">
        <v>63</v>
      </c>
    </row>
    <row r="76" spans="1:6" x14ac:dyDescent="0.3">
      <c r="A76" s="19" t="s">
        <v>64</v>
      </c>
      <c r="B76" s="19" t="str">
        <f>IF(OR(B49="FULL TRILEMMA",C49="FULL TRILEMMA",D49="FULL TRILEMMA",E49="FULL TRILEMMA"),"YES — Cross prediction applies. No resolution without voluntary cost-bearer.","No full trilemma at any radius.")</f>
        <v>No full trilemma at any radius.</v>
      </c>
    </row>
  </sheetData>
  <conditionalFormatting sqref="B67">
    <cfRule type="containsText" dxfId="31" priority="1" operator="containsText" text="COHERENT">
      <formula>NOT(ISERROR(SEARCH("COHERENT",B67)))</formula>
    </cfRule>
    <cfRule type="containsText" dxfId="30" priority="2" operator="containsText" text="MILD">
      <formula>NOT(ISERROR(SEARCH("MILD",B67)))</formula>
    </cfRule>
    <cfRule type="containsText" dxfId="29" priority="3" operator="containsText" text="INCOHERENT">
      <formula>NOT(ISERROR(SEARCH("INCOHERENT",B67)))</formula>
    </cfRule>
    <cfRule type="containsText" dxfId="28" priority="4" operator="containsText" text="SEVERE">
      <formula>NOT(ISERROR(SEARCH("SEVERE",B67)))</formula>
    </cfRule>
    <cfRule type="containsText" dxfId="27" priority="6" operator="containsText" text="INCOHERENT">
      <formula>NOT(ISERROR(SEARCH("INCOHERENT",B67)))</formula>
    </cfRule>
    <cfRule type="containsText" dxfId="26" priority="7" operator="containsText" text="MILD">
      <formula>NOT(ISERROR(SEARCH("MILD",B67)))</formula>
    </cfRule>
    <cfRule type="containsText" dxfId="25" priority="8" operator="containsText" text="COHERENT">
      <formula>NOT(ISERROR(SEARCH("COHERENT",B67)))</formula>
    </cfRule>
  </conditionalFormatting>
  <dataValidations count="1">
    <dataValidation type="whole" allowBlank="1" showInputMessage="1" showErrorMessage="1" promptTitle="Enter 0 or 1" prompt="0 = No, 1 = Yes" sqref="B32:E34 B42:E44 B37:E39" xr:uid="{65302812-0451-47AE-8023-2143DC1AC257}">
      <formula1>0</formula1>
      <formula2>1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B8093-2000-4D88-BB17-846B9F42E08E}">
  <dimension ref="A1:O15"/>
  <sheetViews>
    <sheetView workbookViewId="0"/>
  </sheetViews>
  <sheetFormatPr defaultRowHeight="14.4" x14ac:dyDescent="0.3"/>
  <cols>
    <col min="1" max="1" width="25.88671875" customWidth="1"/>
    <col min="2" max="15" width="11.109375" customWidth="1"/>
  </cols>
  <sheetData>
    <row r="1" spans="1:15" ht="21" x14ac:dyDescent="0.4">
      <c r="A1" s="1" t="s">
        <v>65</v>
      </c>
    </row>
    <row r="2" spans="1:15" x14ac:dyDescent="0.3">
      <c r="A2" s="14" t="s">
        <v>66</v>
      </c>
    </row>
    <row r="4" spans="1:15" x14ac:dyDescent="0.3">
      <c r="A4" s="33"/>
      <c r="B4" s="34" t="s">
        <v>23</v>
      </c>
      <c r="C4" s="58"/>
      <c r="D4" s="58"/>
      <c r="E4" s="34" t="s">
        <v>24</v>
      </c>
      <c r="F4" s="58"/>
      <c r="G4" s="58"/>
      <c r="H4" s="34" t="s">
        <v>25</v>
      </c>
      <c r="I4" s="58"/>
      <c r="J4" s="58"/>
      <c r="K4" s="34" t="s">
        <v>26</v>
      </c>
      <c r="L4" s="58"/>
      <c r="M4" s="58"/>
      <c r="N4" s="34" t="s">
        <v>67</v>
      </c>
      <c r="O4" s="59"/>
    </row>
    <row r="5" spans="1:15" x14ac:dyDescent="0.3">
      <c r="A5" s="60" t="s">
        <v>68</v>
      </c>
      <c r="B5" s="61" t="s">
        <v>69</v>
      </c>
      <c r="C5" s="62" t="s">
        <v>70</v>
      </c>
      <c r="D5" s="63" t="s">
        <v>71</v>
      </c>
      <c r="E5" s="61" t="s">
        <v>69</v>
      </c>
      <c r="F5" s="62" t="s">
        <v>70</v>
      </c>
      <c r="G5" s="63" t="s">
        <v>71</v>
      </c>
      <c r="H5" s="61" t="s">
        <v>69</v>
      </c>
      <c r="I5" s="62" t="s">
        <v>70</v>
      </c>
      <c r="J5" s="63" t="s">
        <v>71</v>
      </c>
      <c r="K5" s="61" t="s">
        <v>69</v>
      </c>
      <c r="L5" s="62" t="s">
        <v>70</v>
      </c>
      <c r="M5" s="63" t="s">
        <v>71</v>
      </c>
      <c r="N5" s="64" t="s">
        <v>72</v>
      </c>
      <c r="O5" s="65" t="s">
        <v>73</v>
      </c>
    </row>
    <row r="6" spans="1:15" x14ac:dyDescent="0.3">
      <c r="A6" s="53" t="s">
        <v>74</v>
      </c>
      <c r="B6" s="66">
        <v>1</v>
      </c>
      <c r="C6" s="66">
        <v>2</v>
      </c>
      <c r="D6" s="66">
        <v>1</v>
      </c>
      <c r="E6" s="66">
        <v>2</v>
      </c>
      <c r="F6" s="66">
        <v>2</v>
      </c>
      <c r="G6" s="66">
        <v>2</v>
      </c>
      <c r="H6" s="66">
        <v>3</v>
      </c>
      <c r="I6" s="66">
        <v>2</v>
      </c>
      <c r="J6" s="66">
        <v>2</v>
      </c>
      <c r="K6" s="66">
        <v>3</v>
      </c>
      <c r="L6" s="66">
        <v>3</v>
      </c>
      <c r="M6" s="66">
        <v>2</v>
      </c>
      <c r="N6" s="42">
        <f>MAX(0,K6-B6)+MAX(0,L6-C6)+ABS(M6-D6)</f>
        <v>4</v>
      </c>
      <c r="O6" s="67" t="str">
        <f>IF(N6=0,"COHERENT",IF(N6&lt;=2,"MILD TENSION",IF(N6&lt;=4,"INCOHERENT","SEVERE COST EXPORT")))</f>
        <v>INCOHERENT</v>
      </c>
    </row>
    <row r="7" spans="1:15" x14ac:dyDescent="0.3">
      <c r="A7" s="53" t="s">
        <v>75</v>
      </c>
      <c r="B7" s="66">
        <v>2</v>
      </c>
      <c r="C7" s="66">
        <v>3</v>
      </c>
      <c r="D7" s="66">
        <v>3</v>
      </c>
      <c r="E7" s="66">
        <v>3</v>
      </c>
      <c r="F7" s="66">
        <v>3</v>
      </c>
      <c r="G7" s="66">
        <v>3</v>
      </c>
      <c r="H7" s="66">
        <v>3</v>
      </c>
      <c r="I7" s="66">
        <v>3</v>
      </c>
      <c r="J7" s="66">
        <v>3</v>
      </c>
      <c r="K7" s="66">
        <v>3</v>
      </c>
      <c r="L7" s="66">
        <v>3</v>
      </c>
      <c r="M7" s="66">
        <v>3</v>
      </c>
      <c r="N7" s="42">
        <f t="shared" ref="N7:N15" si="0">MAX(0,K7-B7)+MAX(0,L7-C7)+ABS(M7-D7)</f>
        <v>1</v>
      </c>
      <c r="O7" s="67" t="str">
        <f t="shared" ref="O7:O15" si="1">IF(N7=0,"COHERENT",IF(N7&lt;=2,"MILD TENSION",IF(N7&lt;=4,"INCOHERENT","SEVERE COST EXPORT")))</f>
        <v>MILD TENSION</v>
      </c>
    </row>
    <row r="8" spans="1:15" x14ac:dyDescent="0.3">
      <c r="A8" s="53" t="s">
        <v>76</v>
      </c>
      <c r="B8" s="66">
        <v>1</v>
      </c>
      <c r="C8" s="66">
        <v>3</v>
      </c>
      <c r="D8" s="66">
        <v>1</v>
      </c>
      <c r="E8" s="66">
        <v>2</v>
      </c>
      <c r="F8" s="66">
        <v>2</v>
      </c>
      <c r="G8" s="66">
        <v>1</v>
      </c>
      <c r="H8" s="66">
        <v>3</v>
      </c>
      <c r="I8" s="66">
        <v>2</v>
      </c>
      <c r="J8" s="66">
        <v>1</v>
      </c>
      <c r="K8" s="66">
        <v>3</v>
      </c>
      <c r="L8" s="66">
        <v>1</v>
      </c>
      <c r="M8" s="66">
        <v>1</v>
      </c>
      <c r="N8" s="42">
        <f t="shared" si="0"/>
        <v>2</v>
      </c>
      <c r="O8" s="67" t="str">
        <f t="shared" si="1"/>
        <v>MILD TENSION</v>
      </c>
    </row>
    <row r="9" spans="1:15" x14ac:dyDescent="0.3">
      <c r="A9" s="53" t="s">
        <v>77</v>
      </c>
      <c r="B9" s="66">
        <v>1</v>
      </c>
      <c r="C9" s="66">
        <v>1</v>
      </c>
      <c r="D9" s="66">
        <v>2</v>
      </c>
      <c r="E9" s="66">
        <v>2</v>
      </c>
      <c r="F9" s="66">
        <v>1</v>
      </c>
      <c r="G9" s="66">
        <v>3</v>
      </c>
      <c r="H9" s="66">
        <v>3</v>
      </c>
      <c r="I9" s="66">
        <v>1</v>
      </c>
      <c r="J9" s="66">
        <v>3</v>
      </c>
      <c r="K9" s="66">
        <v>3</v>
      </c>
      <c r="L9" s="66">
        <v>1</v>
      </c>
      <c r="M9" s="66">
        <v>3</v>
      </c>
      <c r="N9" s="42">
        <f t="shared" si="0"/>
        <v>3</v>
      </c>
      <c r="O9" s="67" t="str">
        <f t="shared" si="1"/>
        <v>INCOHERENT</v>
      </c>
    </row>
    <row r="10" spans="1:15" x14ac:dyDescent="0.3">
      <c r="A10" s="53" t="s">
        <v>78</v>
      </c>
      <c r="B10" s="66">
        <v>1</v>
      </c>
      <c r="C10" s="66">
        <v>3</v>
      </c>
      <c r="D10" s="66">
        <v>1</v>
      </c>
      <c r="E10" s="66">
        <v>2</v>
      </c>
      <c r="F10" s="66">
        <v>3</v>
      </c>
      <c r="G10" s="66">
        <v>2</v>
      </c>
      <c r="H10" s="66">
        <v>2</v>
      </c>
      <c r="I10" s="66">
        <v>3</v>
      </c>
      <c r="J10" s="66">
        <v>2</v>
      </c>
      <c r="K10" s="66">
        <v>2</v>
      </c>
      <c r="L10" s="66">
        <v>3</v>
      </c>
      <c r="M10" s="66">
        <v>2</v>
      </c>
      <c r="N10" s="42">
        <f t="shared" si="0"/>
        <v>2</v>
      </c>
      <c r="O10" s="67" t="str">
        <f t="shared" si="1"/>
        <v>MILD TENSION</v>
      </c>
    </row>
    <row r="11" spans="1:15" x14ac:dyDescent="0.3">
      <c r="A11" s="53" t="s">
        <v>79</v>
      </c>
      <c r="B11" s="66">
        <v>1</v>
      </c>
      <c r="C11" s="66">
        <v>2</v>
      </c>
      <c r="D11" s="66">
        <v>2</v>
      </c>
      <c r="E11" s="66">
        <v>2</v>
      </c>
      <c r="F11" s="66">
        <v>2</v>
      </c>
      <c r="G11" s="66">
        <v>3</v>
      </c>
      <c r="H11" s="66">
        <v>3</v>
      </c>
      <c r="I11" s="66">
        <v>2</v>
      </c>
      <c r="J11" s="66">
        <v>3</v>
      </c>
      <c r="K11" s="66">
        <v>3</v>
      </c>
      <c r="L11" s="66">
        <v>2</v>
      </c>
      <c r="M11" s="66">
        <v>3</v>
      </c>
      <c r="N11" s="42">
        <f t="shared" si="0"/>
        <v>3</v>
      </c>
      <c r="O11" s="67" t="str">
        <f t="shared" si="1"/>
        <v>INCOHERENT</v>
      </c>
    </row>
    <row r="12" spans="1:15" x14ac:dyDescent="0.3">
      <c r="A12" s="53" t="s">
        <v>80</v>
      </c>
      <c r="B12" s="66">
        <v>1</v>
      </c>
      <c r="C12" s="66">
        <v>3</v>
      </c>
      <c r="D12" s="66">
        <v>2</v>
      </c>
      <c r="E12" s="66">
        <v>2</v>
      </c>
      <c r="F12" s="66">
        <v>2</v>
      </c>
      <c r="G12" s="66">
        <v>2</v>
      </c>
      <c r="H12" s="66">
        <v>3</v>
      </c>
      <c r="I12" s="66">
        <v>2</v>
      </c>
      <c r="J12" s="66">
        <v>2</v>
      </c>
      <c r="K12" s="66">
        <v>3</v>
      </c>
      <c r="L12" s="66">
        <v>1</v>
      </c>
      <c r="M12" s="66">
        <v>2</v>
      </c>
      <c r="N12" s="42">
        <f t="shared" si="0"/>
        <v>2</v>
      </c>
      <c r="O12" s="67" t="str">
        <f t="shared" si="1"/>
        <v>MILD TENSION</v>
      </c>
    </row>
    <row r="13" spans="1:15" x14ac:dyDescent="0.3">
      <c r="A13" s="53" t="s">
        <v>81</v>
      </c>
      <c r="B13" s="66">
        <v>0</v>
      </c>
      <c r="C13" s="66">
        <v>3</v>
      </c>
      <c r="D13" s="66">
        <v>1</v>
      </c>
      <c r="E13" s="66">
        <v>1</v>
      </c>
      <c r="F13" s="66">
        <v>3</v>
      </c>
      <c r="G13" s="66">
        <v>2</v>
      </c>
      <c r="H13" s="66">
        <v>2</v>
      </c>
      <c r="I13" s="66">
        <v>3</v>
      </c>
      <c r="J13" s="66">
        <v>2</v>
      </c>
      <c r="K13" s="66">
        <v>2</v>
      </c>
      <c r="L13" s="66">
        <v>3</v>
      </c>
      <c r="M13" s="66">
        <v>2</v>
      </c>
      <c r="N13" s="42">
        <f t="shared" si="0"/>
        <v>3</v>
      </c>
      <c r="O13" s="67" t="str">
        <f t="shared" si="1"/>
        <v>INCOHERENT</v>
      </c>
    </row>
    <row r="14" spans="1:15" x14ac:dyDescent="0.3">
      <c r="A14" s="68" t="s">
        <v>82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42">
        <f t="shared" si="0"/>
        <v>0</v>
      </c>
      <c r="O14" s="67" t="str">
        <f t="shared" si="1"/>
        <v>COHERENT</v>
      </c>
    </row>
    <row r="15" spans="1:15" x14ac:dyDescent="0.3">
      <c r="A15" s="70" t="s">
        <v>82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2">
        <f t="shared" si="0"/>
        <v>0</v>
      </c>
      <c r="O15" s="73" t="str">
        <f t="shared" si="1"/>
        <v>COHERENT</v>
      </c>
    </row>
  </sheetData>
  <conditionalFormatting sqref="N6:N15">
    <cfRule type="colorScale" priority="5">
      <colorScale>
        <cfvo type="min"/>
        <cfvo type="max"/>
        <color rgb="FFFF7128"/>
        <color rgb="FFFFEF9C"/>
      </colorScale>
    </cfRule>
  </conditionalFormatting>
  <conditionalFormatting sqref="O6:O15">
    <cfRule type="containsText" dxfId="24" priority="1" operator="containsText" text="COHERENT">
      <formula>NOT(ISERROR(SEARCH("COHERENT",O6)))</formula>
    </cfRule>
    <cfRule type="containsText" dxfId="23" priority="2" operator="containsText" text="MILD TENSION">
      <formula>NOT(ISERROR(SEARCH("MILD TENSION",O6)))</formula>
    </cfRule>
    <cfRule type="containsText" dxfId="22" priority="3" operator="containsText" text="INCOHERENT">
      <formula>NOT(ISERROR(SEARCH("INCOHERENT",O6)))</formula>
    </cfRule>
    <cfRule type="containsText" dxfId="21" priority="4" operator="containsText" text="SEVERE">
      <formula>NOT(ISERROR(SEARCH("SEVERE",O6)))</formula>
    </cfRule>
    <cfRule type="containsText" dxfId="20" priority="7" operator="containsText" text="INCOHERENT">
      <formula>NOT(ISERROR(SEARCH("INCOHERENT",O6)))</formula>
    </cfRule>
    <cfRule type="containsText" dxfId="19" priority="8" operator="containsText" text="MILD">
      <formula>NOT(ISERROR(SEARCH("MILD",O6)))</formula>
    </cfRule>
    <cfRule type="containsText" dxfId="18" priority="9" operator="containsText" text="COHERENT">
      <formula>NOT(ISERROR(SEARCH("COHERENT",O6)))</formula>
    </cfRule>
  </conditionalFormatting>
  <dataValidations count="1">
    <dataValidation type="whole" allowBlank="1" showInputMessage="1" showErrorMessage="1" promptTitle="Enter 0-3" prompt="0 = None, 1 = Low, 2 = Moderate, 3 = High" sqref="B6:M15" xr:uid="{3A56078E-3FE7-4153-BEFC-853E8295E6EF}">
      <formula1>0</formula1>
      <formula2>3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1F78-5C2F-4A28-B34E-C0C8344E6374}">
  <dimension ref="A1:K35"/>
  <sheetViews>
    <sheetView workbookViewId="0"/>
  </sheetViews>
  <sheetFormatPr defaultRowHeight="14.4" x14ac:dyDescent="0.3"/>
  <cols>
    <col min="1" max="1" width="33.33203125" customWidth="1"/>
    <col min="2" max="2" width="5.5546875" customWidth="1"/>
    <col min="3" max="3" width="11.109375" customWidth="1"/>
    <col min="4" max="4" width="5.5546875" customWidth="1"/>
    <col min="5" max="5" width="37" customWidth="1"/>
    <col min="6" max="6" width="5.5546875" customWidth="1"/>
    <col min="7" max="7" width="37" customWidth="1"/>
    <col min="8" max="9" width="11.109375" customWidth="1"/>
    <col min="10" max="10" width="14.77734375" customWidth="1"/>
    <col min="11" max="11" width="18.5546875" customWidth="1"/>
  </cols>
  <sheetData>
    <row r="1" spans="1:11" ht="18" x14ac:dyDescent="0.35">
      <c r="A1" s="74" t="s">
        <v>83</v>
      </c>
    </row>
    <row r="2" spans="1:11" x14ac:dyDescent="0.3">
      <c r="A2" s="75" t="s">
        <v>84</v>
      </c>
    </row>
    <row r="3" spans="1:11" x14ac:dyDescent="0.3">
      <c r="A3" s="75" t="s">
        <v>85</v>
      </c>
    </row>
    <row r="5" spans="1:11" x14ac:dyDescent="0.3">
      <c r="A5" s="76" t="s">
        <v>86</v>
      </c>
      <c r="B5" s="77"/>
      <c r="C5" s="78" t="s">
        <v>87</v>
      </c>
      <c r="D5" s="78" t="s">
        <v>88</v>
      </c>
      <c r="E5" s="78" t="s">
        <v>89</v>
      </c>
      <c r="F5" s="77"/>
      <c r="G5" s="79" t="s">
        <v>90</v>
      </c>
      <c r="H5" s="79" t="s">
        <v>91</v>
      </c>
      <c r="I5" s="79" t="s">
        <v>92</v>
      </c>
      <c r="J5" s="80" t="s">
        <v>93</v>
      </c>
      <c r="K5" s="80" t="s">
        <v>94</v>
      </c>
    </row>
    <row r="6" spans="1:11" x14ac:dyDescent="0.3">
      <c r="B6" s="82" t="s">
        <v>95</v>
      </c>
      <c r="F6" s="84" t="s">
        <v>96</v>
      </c>
    </row>
    <row r="7" spans="1:11" x14ac:dyDescent="0.3">
      <c r="A7" s="15" t="s">
        <v>97</v>
      </c>
      <c r="C7" s="86">
        <v>1</v>
      </c>
      <c r="D7" s="86">
        <v>3</v>
      </c>
      <c r="E7" s="86">
        <v>3</v>
      </c>
      <c r="G7" s="86">
        <v>3</v>
      </c>
      <c r="H7" s="86">
        <v>0</v>
      </c>
      <c r="I7" s="86">
        <v>3</v>
      </c>
      <c r="J7" s="16">
        <f>(C7+D7+E7)-(G7+H7+I7)</f>
        <v>1</v>
      </c>
      <c r="K7" s="16" t="str">
        <f>IF(AND(C7="",G7=""),"",IF(ABS(J7)&lt;=1,"RECIPROCAL",IF(J7&gt;1,"SELF-SERVING","SELF-SACRIFICING")))</f>
        <v>RECIPROCAL</v>
      </c>
    </row>
    <row r="8" spans="1:11" x14ac:dyDescent="0.3">
      <c r="A8" s="15" t="s">
        <v>98</v>
      </c>
      <c r="C8" s="86">
        <v>3</v>
      </c>
      <c r="D8" s="86">
        <v>0</v>
      </c>
      <c r="E8" s="86">
        <v>0</v>
      </c>
      <c r="G8" s="86">
        <v>0</v>
      </c>
      <c r="H8" s="86">
        <v>3</v>
      </c>
      <c r="I8" s="86">
        <v>3</v>
      </c>
      <c r="J8" s="16">
        <f t="shared" ref="J8:J16" si="0">(C8+D8+E8)-(G8+H8+I8)</f>
        <v>-3</v>
      </c>
      <c r="K8" s="16" t="str">
        <f t="shared" ref="K8:K16" si="1">IF(AND(C8="",G8=""),"",IF(ABS(J8)&lt;=1,"RECIPROCAL",IF(J8&gt;1,"SELF-SERVING","SELF-SACRIFICING")))</f>
        <v>SELF-SACRIFICING</v>
      </c>
    </row>
    <row r="9" spans="1:11" x14ac:dyDescent="0.3">
      <c r="A9" s="15" t="s">
        <v>99</v>
      </c>
      <c r="C9" s="86">
        <v>0</v>
      </c>
      <c r="D9" s="86">
        <v>0</v>
      </c>
      <c r="E9" s="86">
        <v>3</v>
      </c>
      <c r="G9" s="86">
        <v>3</v>
      </c>
      <c r="H9" s="86">
        <v>0</v>
      </c>
      <c r="I9" s="86">
        <v>0</v>
      </c>
      <c r="J9" s="16">
        <f t="shared" si="0"/>
        <v>0</v>
      </c>
      <c r="K9" s="16" t="str">
        <f t="shared" si="1"/>
        <v>RECIPROCAL</v>
      </c>
    </row>
    <row r="10" spans="1:11" x14ac:dyDescent="0.3">
      <c r="A10" s="15" t="s">
        <v>100</v>
      </c>
      <c r="C10" s="86">
        <v>3</v>
      </c>
      <c r="D10" s="86">
        <v>0</v>
      </c>
      <c r="E10" s="86">
        <v>0</v>
      </c>
      <c r="G10" s="86">
        <v>0</v>
      </c>
      <c r="H10" s="86">
        <v>3</v>
      </c>
      <c r="I10" s="86">
        <v>3</v>
      </c>
      <c r="J10" s="16">
        <f t="shared" si="0"/>
        <v>-3</v>
      </c>
      <c r="K10" s="16" t="str">
        <f t="shared" si="1"/>
        <v>SELF-SACRIFICING</v>
      </c>
    </row>
    <row r="11" spans="1:11" x14ac:dyDescent="0.3">
      <c r="A11" s="15" t="s">
        <v>101</v>
      </c>
      <c r="C11" s="86">
        <v>0</v>
      </c>
      <c r="D11" s="86">
        <v>3</v>
      </c>
      <c r="E11" s="86">
        <v>2</v>
      </c>
      <c r="G11" s="86">
        <v>3</v>
      </c>
      <c r="H11" s="86">
        <v>0</v>
      </c>
      <c r="I11" s="86">
        <v>2</v>
      </c>
      <c r="J11" s="16">
        <f t="shared" si="0"/>
        <v>0</v>
      </c>
      <c r="K11" s="16" t="str">
        <f t="shared" si="1"/>
        <v>RECIPROCAL</v>
      </c>
    </row>
    <row r="12" spans="1:11" x14ac:dyDescent="0.3">
      <c r="A12" s="15" t="s">
        <v>102</v>
      </c>
      <c r="C12" s="86">
        <v>3</v>
      </c>
      <c r="D12" s="86">
        <v>0</v>
      </c>
      <c r="E12" s="86">
        <v>1</v>
      </c>
      <c r="G12" s="86">
        <v>0</v>
      </c>
      <c r="H12" s="86">
        <v>3</v>
      </c>
      <c r="I12" s="86">
        <v>3</v>
      </c>
      <c r="J12" s="16">
        <f t="shared" si="0"/>
        <v>-2</v>
      </c>
      <c r="K12" s="16" t="str">
        <f t="shared" si="1"/>
        <v>SELF-SACRIFICING</v>
      </c>
    </row>
    <row r="13" spans="1:11" x14ac:dyDescent="0.3">
      <c r="A13" s="15" t="s">
        <v>103</v>
      </c>
      <c r="C13" s="86">
        <v>1</v>
      </c>
      <c r="D13" s="86">
        <v>3</v>
      </c>
      <c r="E13" s="86">
        <v>0</v>
      </c>
      <c r="G13" s="86">
        <v>2</v>
      </c>
      <c r="H13" s="86">
        <v>0</v>
      </c>
      <c r="I13" s="86">
        <v>3</v>
      </c>
      <c r="J13" s="16">
        <f t="shared" si="0"/>
        <v>-1</v>
      </c>
      <c r="K13" s="16" t="str">
        <f t="shared" si="1"/>
        <v>RECIPROCAL</v>
      </c>
    </row>
    <row r="14" spans="1:11" x14ac:dyDescent="0.3">
      <c r="A14" s="15" t="s">
        <v>104</v>
      </c>
      <c r="C14" s="86">
        <v>2</v>
      </c>
      <c r="D14" s="86">
        <v>0</v>
      </c>
      <c r="E14" s="86">
        <v>3</v>
      </c>
      <c r="G14" s="86">
        <v>0</v>
      </c>
      <c r="H14" s="86">
        <v>3</v>
      </c>
      <c r="I14" s="86">
        <v>0</v>
      </c>
      <c r="J14" s="16">
        <f t="shared" si="0"/>
        <v>2</v>
      </c>
      <c r="K14" s="16" t="str">
        <f t="shared" si="1"/>
        <v>SELF-SERVING</v>
      </c>
    </row>
    <row r="15" spans="1:11" x14ac:dyDescent="0.3">
      <c r="A15" s="87" t="s">
        <v>105</v>
      </c>
      <c r="C15" s="86"/>
      <c r="D15" s="86"/>
      <c r="E15" s="86"/>
      <c r="G15" s="86"/>
      <c r="H15" s="86"/>
      <c r="I15" s="86"/>
      <c r="J15" s="16">
        <f t="shared" si="0"/>
        <v>0</v>
      </c>
      <c r="K15" s="16" t="str">
        <f t="shared" si="1"/>
        <v/>
      </c>
    </row>
    <row r="16" spans="1:11" x14ac:dyDescent="0.3">
      <c r="A16" s="87" t="s">
        <v>105</v>
      </c>
      <c r="C16" s="86"/>
      <c r="D16" s="86"/>
      <c r="E16" s="86"/>
      <c r="G16" s="86"/>
      <c r="H16" s="86"/>
      <c r="I16" s="86"/>
      <c r="J16" s="16">
        <f t="shared" si="0"/>
        <v>0</v>
      </c>
      <c r="K16" s="16" t="str">
        <f t="shared" si="1"/>
        <v/>
      </c>
    </row>
    <row r="18" spans="1:7" ht="15.6" x14ac:dyDescent="0.3">
      <c r="A18" s="88" t="s">
        <v>106</v>
      </c>
    </row>
    <row r="19" spans="1:7" x14ac:dyDescent="0.3">
      <c r="A19" s="89" t="s">
        <v>107</v>
      </c>
    </row>
    <row r="20" spans="1:7" x14ac:dyDescent="0.3">
      <c r="A20" s="15" t="s">
        <v>108</v>
      </c>
    </row>
    <row r="22" spans="1:7" x14ac:dyDescent="0.3">
      <c r="A22" s="90" t="s">
        <v>109</v>
      </c>
    </row>
    <row r="23" spans="1:7" x14ac:dyDescent="0.3">
      <c r="A23" s="91" t="s">
        <v>110</v>
      </c>
      <c r="C23" s="92" t="s">
        <v>111</v>
      </c>
      <c r="E23" s="92" t="s">
        <v>112</v>
      </c>
      <c r="G23" s="92" t="s">
        <v>113</v>
      </c>
    </row>
    <row r="24" spans="1:7" x14ac:dyDescent="0.3">
      <c r="A24" t="s">
        <v>114</v>
      </c>
      <c r="C24" s="24" t="s">
        <v>115</v>
      </c>
      <c r="E24" s="118" t="s">
        <v>116</v>
      </c>
      <c r="G24" s="118" t="s">
        <v>117</v>
      </c>
    </row>
    <row r="25" spans="1:7" x14ac:dyDescent="0.3">
      <c r="A25" t="s">
        <v>118</v>
      </c>
      <c r="C25" s="24" t="s">
        <v>119</v>
      </c>
      <c r="E25" s="118" t="s">
        <v>120</v>
      </c>
      <c r="G25" s="118" t="s">
        <v>121</v>
      </c>
    </row>
    <row r="26" spans="1:7" ht="28.8" x14ac:dyDescent="0.3">
      <c r="A26" t="s">
        <v>122</v>
      </c>
      <c r="C26" s="24" t="s">
        <v>123</v>
      </c>
      <c r="E26" s="118" t="s">
        <v>124</v>
      </c>
      <c r="G26" s="118" t="s">
        <v>125</v>
      </c>
    </row>
    <row r="28" spans="1:7" x14ac:dyDescent="0.3">
      <c r="A28" s="90" t="s">
        <v>126</v>
      </c>
    </row>
    <row r="29" spans="1:7" x14ac:dyDescent="0.3">
      <c r="A29" t="s">
        <v>127</v>
      </c>
    </row>
    <row r="30" spans="1:7" x14ac:dyDescent="0.3">
      <c r="A30" t="s">
        <v>128</v>
      </c>
    </row>
    <row r="31" spans="1:7" x14ac:dyDescent="0.3">
      <c r="A31" t="s">
        <v>129</v>
      </c>
    </row>
    <row r="32" spans="1:7" x14ac:dyDescent="0.3">
      <c r="A32" t="s">
        <v>130</v>
      </c>
    </row>
    <row r="33" spans="1:1" x14ac:dyDescent="0.3">
      <c r="A33" t="s">
        <v>131</v>
      </c>
    </row>
    <row r="35" spans="1:1" x14ac:dyDescent="0.3">
      <c r="A35" s="93" t="s">
        <v>132</v>
      </c>
    </row>
  </sheetData>
  <conditionalFormatting sqref="J7:J16">
    <cfRule type="colorScale" priority="4">
      <colorScale>
        <cfvo type="min"/>
        <cfvo type="num" val="0"/>
        <cfvo type="max"/>
        <color rgb="FF1F4E79"/>
        <color rgb="FFFFFFFF"/>
        <color rgb="FFC00000"/>
      </colorScale>
    </cfRule>
  </conditionalFormatting>
  <conditionalFormatting sqref="K7:K16">
    <cfRule type="containsText" dxfId="17" priority="1" operator="containsText" text="RECIPROCAL">
      <formula>NOT(ISERROR(SEARCH("RECIPROCAL",K7)))</formula>
    </cfRule>
    <cfRule type="containsText" dxfId="16" priority="2" operator="containsText" text="SELF-SERVING">
      <formula>NOT(ISERROR(SEARCH("SELF-SERVING",K7)))</formula>
    </cfRule>
    <cfRule type="containsText" dxfId="15" priority="3" operator="containsText" text="SELF-SACRIFICING">
      <formula>NOT(ISERROR(SEARCH("SELF-SACRIFICING",K7)))</formula>
    </cfRule>
  </conditionalFormatting>
  <dataValidations count="1">
    <dataValidation type="whole" allowBlank="1" showInputMessage="1" showErrorMessage="1" errorTitle="Invalid Score" error="Enter 0-3 (0=None, 3=Maximum)" sqref="C7:E16 G7:I16" xr:uid="{3B98E578-1944-4EAA-A5B1-45ABF3777163}">
      <formula1>0</formula1>
      <formula2>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8FF3-A76C-44B6-B0AF-198429290CC3}">
  <dimension ref="A1:E42"/>
  <sheetViews>
    <sheetView workbookViewId="0"/>
  </sheetViews>
  <sheetFormatPr defaultRowHeight="14.4" x14ac:dyDescent="0.3"/>
  <cols>
    <col min="1" max="1" width="40.77734375" customWidth="1"/>
    <col min="2" max="4" width="18.5546875" customWidth="1"/>
    <col min="5" max="5" width="22.21875" customWidth="1"/>
  </cols>
  <sheetData>
    <row r="1" spans="1:5" ht="18" x14ac:dyDescent="0.35">
      <c r="A1" s="74" t="s">
        <v>133</v>
      </c>
    </row>
    <row r="2" spans="1:5" x14ac:dyDescent="0.3">
      <c r="A2" s="75" t="s">
        <v>134</v>
      </c>
    </row>
    <row r="4" spans="1:5" ht="15.6" x14ac:dyDescent="0.3">
      <c r="A4" s="88" t="s">
        <v>135</v>
      </c>
    </row>
    <row r="5" spans="1:5" x14ac:dyDescent="0.3">
      <c r="A5" t="s">
        <v>136</v>
      </c>
    </row>
    <row r="6" spans="1:5" x14ac:dyDescent="0.3">
      <c r="A6" t="s">
        <v>137</v>
      </c>
    </row>
    <row r="8" spans="1:5" ht="15.6" x14ac:dyDescent="0.3">
      <c r="A8" s="88" t="s">
        <v>138</v>
      </c>
    </row>
    <row r="9" spans="1:5" x14ac:dyDescent="0.3">
      <c r="A9" s="75" t="s">
        <v>139</v>
      </c>
    </row>
    <row r="11" spans="1:5" x14ac:dyDescent="0.3">
      <c r="A11" s="94" t="s">
        <v>140</v>
      </c>
      <c r="B11" s="92" t="s">
        <v>141</v>
      </c>
      <c r="C11" s="92" t="s">
        <v>142</v>
      </c>
      <c r="D11" s="92" t="s">
        <v>143</v>
      </c>
      <c r="E11" s="92" t="s">
        <v>144</v>
      </c>
    </row>
    <row r="12" spans="1:5" x14ac:dyDescent="0.3">
      <c r="A12" t="s">
        <v>145</v>
      </c>
      <c r="B12" s="95" t="s">
        <v>146</v>
      </c>
      <c r="C12" s="96"/>
      <c r="D12" s="96"/>
      <c r="E12" s="98" t="str">
        <f>IF(AND(C12&lt;&gt;"",D12&lt;&gt;""),D12-C12,"")</f>
        <v/>
      </c>
    </row>
    <row r="13" spans="1:5" x14ac:dyDescent="0.3">
      <c r="A13" t="s">
        <v>147</v>
      </c>
      <c r="B13" s="95" t="s">
        <v>148</v>
      </c>
      <c r="C13" s="96"/>
      <c r="D13" s="96"/>
      <c r="E13" t="str">
        <f t="shared" ref="E13:E16" si="0">IF(AND(C13&lt;&gt;"",D13&lt;&gt;""),D13-C13,"")</f>
        <v/>
      </c>
    </row>
    <row r="14" spans="1:5" x14ac:dyDescent="0.3">
      <c r="A14" t="s">
        <v>149</v>
      </c>
      <c r="B14" s="95" t="s">
        <v>150</v>
      </c>
      <c r="C14" s="96"/>
      <c r="D14" s="96"/>
      <c r="E14" t="str">
        <f t="shared" si="0"/>
        <v/>
      </c>
    </row>
    <row r="15" spans="1:5" x14ac:dyDescent="0.3">
      <c r="A15" t="s">
        <v>151</v>
      </c>
      <c r="B15" s="95" t="s">
        <v>152</v>
      </c>
      <c r="C15" s="96"/>
      <c r="D15" s="96"/>
      <c r="E15" t="str">
        <f t="shared" si="0"/>
        <v/>
      </c>
    </row>
    <row r="16" spans="1:5" x14ac:dyDescent="0.3">
      <c r="A16" t="s">
        <v>153</v>
      </c>
      <c r="B16" s="95" t="s">
        <v>154</v>
      </c>
      <c r="C16" s="96"/>
      <c r="D16" s="96"/>
      <c r="E16" t="str">
        <f t="shared" si="0"/>
        <v/>
      </c>
    </row>
    <row r="17" spans="1:5" x14ac:dyDescent="0.3">
      <c r="A17" s="15" t="s">
        <v>155</v>
      </c>
      <c r="C17" s="97">
        <f>SUM(C12:C16)</f>
        <v>0</v>
      </c>
      <c r="D17" s="97">
        <f>SUM(D12:D16)</f>
        <v>0</v>
      </c>
      <c r="E17" s="99" t="str">
        <f>IF(AND(C17&lt;&gt;0,D17&lt;&gt;0),D17-C17,"")</f>
        <v/>
      </c>
    </row>
    <row r="19" spans="1:5" x14ac:dyDescent="0.3">
      <c r="A19" s="101" t="s">
        <v>156</v>
      </c>
      <c r="B19" s="102" t="s">
        <v>141</v>
      </c>
      <c r="C19" s="103" t="s">
        <v>142</v>
      </c>
      <c r="D19" s="103" t="s">
        <v>143</v>
      </c>
      <c r="E19" s="103" t="s">
        <v>144</v>
      </c>
    </row>
    <row r="20" spans="1:5" x14ac:dyDescent="0.3">
      <c r="A20" t="s">
        <v>157</v>
      </c>
      <c r="B20" s="95" t="s">
        <v>158</v>
      </c>
      <c r="C20" s="96"/>
      <c r="D20" s="96"/>
      <c r="E20" s="98" t="str">
        <f>IF(AND(C20&lt;&gt;"",D20&lt;&gt;""),D20-C20,"")</f>
        <v/>
      </c>
    </row>
    <row r="21" spans="1:5" x14ac:dyDescent="0.3">
      <c r="A21" t="s">
        <v>159</v>
      </c>
      <c r="B21" s="95" t="s">
        <v>160</v>
      </c>
      <c r="C21" s="96"/>
      <c r="D21" s="96"/>
      <c r="E21" t="str">
        <f t="shared" ref="E21:E24" si="1">IF(AND(C21&lt;&gt;"",D21&lt;&gt;""),D21-C21,"")</f>
        <v/>
      </c>
    </row>
    <row r="22" spans="1:5" x14ac:dyDescent="0.3">
      <c r="A22" t="s">
        <v>161</v>
      </c>
      <c r="B22" s="95" t="s">
        <v>162</v>
      </c>
      <c r="C22" s="96"/>
      <c r="D22" s="96"/>
      <c r="E22" t="str">
        <f t="shared" si="1"/>
        <v/>
      </c>
    </row>
    <row r="23" spans="1:5" x14ac:dyDescent="0.3">
      <c r="A23" t="s">
        <v>163</v>
      </c>
      <c r="B23" s="95" t="s">
        <v>164</v>
      </c>
      <c r="C23" s="96"/>
      <c r="D23" s="96"/>
      <c r="E23" t="str">
        <f t="shared" si="1"/>
        <v/>
      </c>
    </row>
    <row r="24" spans="1:5" x14ac:dyDescent="0.3">
      <c r="A24" t="s">
        <v>165</v>
      </c>
      <c r="B24" s="95" t="s">
        <v>166</v>
      </c>
      <c r="C24" s="96"/>
      <c r="D24" s="96"/>
      <c r="E24" t="str">
        <f t="shared" si="1"/>
        <v/>
      </c>
    </row>
    <row r="25" spans="1:5" x14ac:dyDescent="0.3">
      <c r="A25" s="15" t="s">
        <v>167</v>
      </c>
      <c r="C25" s="97">
        <f>SUM(C20:C24)</f>
        <v>0</v>
      </c>
      <c r="D25" s="97">
        <f>SUM(D20:D24)</f>
        <v>0</v>
      </c>
      <c r="E25" s="99" t="str">
        <f>IF(AND(C25&lt;&gt;0,D25&lt;&gt;0),D25-C25,"")</f>
        <v/>
      </c>
    </row>
    <row r="27" spans="1:5" ht="15.6" x14ac:dyDescent="0.3">
      <c r="A27" s="88" t="s">
        <v>168</v>
      </c>
    </row>
    <row r="29" spans="1:5" x14ac:dyDescent="0.3">
      <c r="A29" s="76" t="s">
        <v>169</v>
      </c>
      <c r="C29" s="80" t="s">
        <v>142</v>
      </c>
      <c r="D29" s="80" t="s">
        <v>143</v>
      </c>
      <c r="E29" s="80" t="s">
        <v>170</v>
      </c>
    </row>
    <row r="30" spans="1:5" ht="15.6" x14ac:dyDescent="0.3">
      <c r="A30" t="s">
        <v>171</v>
      </c>
      <c r="C30" s="104" t="str">
        <f>IF(C17=0,"No data",C25/C17)</f>
        <v>No data</v>
      </c>
      <c r="D30" s="104" t="str">
        <f>IF(D17=0,"No data",D25/D17)</f>
        <v>No data</v>
      </c>
      <c r="E30" s="16" t="str">
        <f>IF(OR(C30="No data",D30="No data"),"Need data",IF(D30&gt;C30,"↑ COHERENCE DECLINING",IF(D30&lt;C30,"↓ COHERENCE IMPROVING","↔ STABLE")))</f>
        <v>Need data</v>
      </c>
    </row>
    <row r="32" spans="1:5" x14ac:dyDescent="0.3">
      <c r="A32" t="s">
        <v>172</v>
      </c>
      <c r="C32" s="105" t="str">
        <f>IF(C17+C25=0,"No data",C17/(C17+C25))</f>
        <v>No data</v>
      </c>
      <c r="D32" s="105" t="str">
        <f>IF(D17+D25=0,"No data",D17/(D17+D25))</f>
        <v>No data</v>
      </c>
      <c r="E32" s="24" t="str">
        <f>IF(OR(C32="No data",D32="No data"),"Need data",IF(D32&lt;C32,"↑ Voluntary declining",IF(D32&gt;C32,"↓ Voluntary growing","↔ Stable")))</f>
        <v>Need data</v>
      </c>
    </row>
    <row r="34" spans="1:4" x14ac:dyDescent="0.3">
      <c r="A34" s="15" t="s">
        <v>173</v>
      </c>
      <c r="C34" s="24" t="str">
        <f>IF(C17=0,"No data",IF(C17&gt;C25/2,"YES — Voluntary &gt; 33% of total","WEAK — Voluntary &lt; 33% of total"))</f>
        <v>No data</v>
      </c>
      <c r="D34" s="24" t="str">
        <f>IF(D17=0,"No data",IF(D17&gt;D25/2,"YES — Voluntary &gt; 33% of total","WEAK — Voluntary &lt; 33% of total"))</f>
        <v>No data</v>
      </c>
    </row>
    <row r="36" spans="1:4" x14ac:dyDescent="0.3">
      <c r="A36" s="90" t="s">
        <v>174</v>
      </c>
    </row>
    <row r="37" spans="1:4" x14ac:dyDescent="0.3">
      <c r="A37" t="s">
        <v>175</v>
      </c>
    </row>
    <row r="38" spans="1:4" x14ac:dyDescent="0.3">
      <c r="A38" t="s">
        <v>176</v>
      </c>
    </row>
    <row r="39" spans="1:4" x14ac:dyDescent="0.3">
      <c r="A39" t="s">
        <v>177</v>
      </c>
    </row>
    <row r="41" spans="1:4" ht="15.6" x14ac:dyDescent="0.3">
      <c r="A41" s="88" t="s">
        <v>178</v>
      </c>
    </row>
    <row r="42" spans="1:4" x14ac:dyDescent="0.3">
      <c r="A42" t="s">
        <v>179</v>
      </c>
      <c r="D42" s="15" t="str">
        <f>IF(D30="No data","Enter data above to calculate",IF(D30&lt;1,"HIGH COHERENCE — Voluntary cost-bearing dominates",IF(D30&lt;2,"MODERATE — Coercion rising, voluntary declining","LOW COHERENCE — Voluntary cost-bearer absent. Full trilemma.")))</f>
        <v>Enter data above to calculate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8878-EECA-4B6E-A022-2D0B0C587AE2}">
  <dimension ref="A1:Q45"/>
  <sheetViews>
    <sheetView workbookViewId="0">
      <pane ySplit="22" topLeftCell="A23" activePane="bottomLeft" state="frozen"/>
      <selection pane="bottomLeft"/>
    </sheetView>
  </sheetViews>
  <sheetFormatPr defaultRowHeight="14.4" x14ac:dyDescent="0.3"/>
  <cols>
    <col min="1" max="1" width="37" customWidth="1"/>
    <col min="2" max="10" width="7.44140625" customWidth="1"/>
    <col min="11" max="12" width="8.33203125" customWidth="1"/>
    <col min="13" max="13" width="14.77734375" customWidth="1"/>
    <col min="14" max="14" width="13" customWidth="1"/>
    <col min="15" max="15" width="10.21875" customWidth="1"/>
    <col min="16" max="16" width="17.5546875" customWidth="1"/>
    <col min="17" max="17" width="16.6640625" customWidth="1"/>
  </cols>
  <sheetData>
    <row r="1" spans="1:4" ht="18" x14ac:dyDescent="0.35">
      <c r="A1" s="180" t="s">
        <v>733</v>
      </c>
    </row>
    <row r="2" spans="1:4" x14ac:dyDescent="0.3">
      <c r="A2" s="181" t="s">
        <v>734</v>
      </c>
    </row>
    <row r="3" spans="1:4" x14ac:dyDescent="0.3">
      <c r="A3" s="182" t="s">
        <v>735</v>
      </c>
    </row>
    <row r="5" spans="1:4" x14ac:dyDescent="0.3">
      <c r="A5" s="76" t="s">
        <v>736</v>
      </c>
      <c r="B5" s="77"/>
      <c r="C5" s="77"/>
      <c r="D5" s="77"/>
    </row>
    <row r="6" spans="1:4" x14ac:dyDescent="0.3">
      <c r="A6" s="89" t="s">
        <v>737</v>
      </c>
    </row>
    <row r="7" spans="1:4" x14ac:dyDescent="0.3">
      <c r="A7" s="183" t="s">
        <v>738</v>
      </c>
    </row>
    <row r="8" spans="1:4" x14ac:dyDescent="0.3">
      <c r="A8" s="184" t="s">
        <v>739</v>
      </c>
    </row>
    <row r="10" spans="1:4" x14ac:dyDescent="0.3">
      <c r="A10" s="76" t="s">
        <v>740</v>
      </c>
      <c r="B10" s="76" t="s">
        <v>741</v>
      </c>
      <c r="C10" s="76" t="s">
        <v>742</v>
      </c>
    </row>
    <row r="11" spans="1:4" x14ac:dyDescent="0.3">
      <c r="A11" s="15" t="s">
        <v>743</v>
      </c>
      <c r="B11" t="s">
        <v>744</v>
      </c>
      <c r="C11" t="s">
        <v>745</v>
      </c>
    </row>
    <row r="12" spans="1:4" x14ac:dyDescent="0.3">
      <c r="A12" s="15" t="s">
        <v>746</v>
      </c>
      <c r="B12" t="s">
        <v>747</v>
      </c>
      <c r="C12" t="s">
        <v>748</v>
      </c>
    </row>
    <row r="13" spans="1:4" x14ac:dyDescent="0.3">
      <c r="A13" s="15" t="s">
        <v>749</v>
      </c>
      <c r="B13" t="s">
        <v>750</v>
      </c>
      <c r="C13" t="s">
        <v>751</v>
      </c>
    </row>
    <row r="14" spans="1:4" x14ac:dyDescent="0.3">
      <c r="A14" s="15" t="s">
        <v>752</v>
      </c>
      <c r="B14" t="s">
        <v>753</v>
      </c>
      <c r="C14" t="s">
        <v>754</v>
      </c>
    </row>
    <row r="15" spans="1:4" x14ac:dyDescent="0.3">
      <c r="A15" s="15" t="s">
        <v>755</v>
      </c>
      <c r="B15" t="s">
        <v>756</v>
      </c>
      <c r="C15" t="s">
        <v>757</v>
      </c>
    </row>
    <row r="16" spans="1:4" x14ac:dyDescent="0.3">
      <c r="A16" s="15" t="s">
        <v>758</v>
      </c>
      <c r="B16" t="s">
        <v>759</v>
      </c>
      <c r="C16" t="s">
        <v>760</v>
      </c>
    </row>
    <row r="17" spans="1:17" x14ac:dyDescent="0.3">
      <c r="A17" s="15" t="s">
        <v>761</v>
      </c>
      <c r="B17" t="s">
        <v>762</v>
      </c>
      <c r="C17" t="s">
        <v>763</v>
      </c>
    </row>
    <row r="18" spans="1:17" x14ac:dyDescent="0.3">
      <c r="A18" s="15" t="s">
        <v>764</v>
      </c>
      <c r="B18" t="s">
        <v>765</v>
      </c>
      <c r="C18" t="s">
        <v>766</v>
      </c>
    </row>
    <row r="19" spans="1:17" x14ac:dyDescent="0.3">
      <c r="A19" s="15" t="s">
        <v>767</v>
      </c>
      <c r="B19" t="s">
        <v>768</v>
      </c>
      <c r="C19" t="s">
        <v>769</v>
      </c>
    </row>
    <row r="21" spans="1:17" x14ac:dyDescent="0.3">
      <c r="A21" s="76" t="s">
        <v>770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</row>
    <row r="22" spans="1:17" x14ac:dyDescent="0.3">
      <c r="A22" s="198" t="s">
        <v>771</v>
      </c>
      <c r="B22" s="196" t="s">
        <v>772</v>
      </c>
      <c r="C22" s="196" t="s">
        <v>70</v>
      </c>
      <c r="D22" s="196" t="s">
        <v>773</v>
      </c>
      <c r="E22" s="196" t="s">
        <v>774</v>
      </c>
      <c r="F22" s="196" t="s">
        <v>775</v>
      </c>
      <c r="G22" s="196" t="s">
        <v>776</v>
      </c>
      <c r="H22" s="196" t="s">
        <v>777</v>
      </c>
      <c r="I22" s="196" t="s">
        <v>778</v>
      </c>
      <c r="J22" s="196" t="s">
        <v>779</v>
      </c>
      <c r="K22" s="197" t="s">
        <v>472</v>
      </c>
      <c r="L22" s="197" t="s">
        <v>780</v>
      </c>
      <c r="M22" s="192" t="s">
        <v>781</v>
      </c>
      <c r="N22" s="193" t="s">
        <v>782</v>
      </c>
      <c r="O22" s="194" t="s">
        <v>783</v>
      </c>
      <c r="P22" s="196" t="s">
        <v>73</v>
      </c>
      <c r="Q22" s="193" t="s">
        <v>794</v>
      </c>
    </row>
    <row r="23" spans="1:17" x14ac:dyDescent="0.3">
      <c r="A23" s="199" t="s">
        <v>784</v>
      </c>
      <c r="B23" s="190">
        <v>-1</v>
      </c>
      <c r="C23" s="190">
        <v>1</v>
      </c>
      <c r="D23" s="190">
        <v>2</v>
      </c>
      <c r="E23" s="190">
        <v>-2</v>
      </c>
      <c r="F23" s="190">
        <v>-1</v>
      </c>
      <c r="G23" s="190">
        <v>-2</v>
      </c>
      <c r="H23" s="190">
        <v>1</v>
      </c>
      <c r="I23" s="190">
        <v>2</v>
      </c>
      <c r="J23" s="190">
        <v>-2</v>
      </c>
      <c r="K23" s="191">
        <v>-1</v>
      </c>
      <c r="L23" s="191">
        <v>8</v>
      </c>
      <c r="M23" s="192">
        <f>SUM(B23:J23)</f>
        <v>-2</v>
      </c>
      <c r="N23" s="193">
        <f>MIN(B23:J23)</f>
        <v>-2</v>
      </c>
      <c r="O23" s="194">
        <f>K23*M23*L23</f>
        <v>16</v>
      </c>
      <c r="P23" s="195" t="str">
        <f>IF(M23&gt;0,"CONSTRUCTIVE",IF(M23&lt;0,"DESTRUCTIVE","NEUTRAL"))</f>
        <v>DESTRUCTIVE</v>
      </c>
      <c r="Q23" s="200" t="str">
        <f>CHOOSE(MATCH(N23,B23:J23,0),"G","M","E","S_c","T","K","R","Q","F")</f>
        <v>S_c</v>
      </c>
    </row>
    <row r="24" spans="1:17" x14ac:dyDescent="0.3">
      <c r="A24" s="199" t="s">
        <v>785</v>
      </c>
      <c r="B24" s="190">
        <v>2</v>
      </c>
      <c r="C24" s="190">
        <v>2</v>
      </c>
      <c r="D24" s="190">
        <v>3</v>
      </c>
      <c r="E24" s="190">
        <v>1</v>
      </c>
      <c r="F24" s="190">
        <v>0</v>
      </c>
      <c r="G24" s="190">
        <v>3</v>
      </c>
      <c r="H24" s="190">
        <v>1</v>
      </c>
      <c r="I24" s="190">
        <v>1</v>
      </c>
      <c r="J24" s="190">
        <v>2</v>
      </c>
      <c r="K24" s="191">
        <v>1</v>
      </c>
      <c r="L24" s="191">
        <v>9</v>
      </c>
      <c r="M24" s="192">
        <f t="shared" ref="M24:M32" si="0">SUM(B24:J24)</f>
        <v>15</v>
      </c>
      <c r="N24" s="193">
        <f t="shared" ref="N24:N32" si="1">MIN(B24:J24)</f>
        <v>0</v>
      </c>
      <c r="O24" s="194">
        <f t="shared" ref="O24:O32" si="2">K24*M24*L24</f>
        <v>135</v>
      </c>
      <c r="P24" s="195" t="str">
        <f t="shared" ref="P24:P32" si="3">IF(M24&gt;0,"CONSTRUCTIVE",IF(M24&lt;0,"DESTRUCTIVE","NEUTRAL"))</f>
        <v>CONSTRUCTIVE</v>
      </c>
      <c r="Q24" s="200" t="str">
        <f t="shared" ref="Q24:Q32" si="4">CHOOSE(MATCH(N24,B24:J24,0),"G","M","E","S_c","T","K","R","Q","F")</f>
        <v>T</v>
      </c>
    </row>
    <row r="25" spans="1:17" x14ac:dyDescent="0.3">
      <c r="A25" s="199" t="s">
        <v>786</v>
      </c>
      <c r="B25" s="190">
        <v>3</v>
      </c>
      <c r="C25" s="190">
        <v>3</v>
      </c>
      <c r="D25" s="190">
        <v>2</v>
      </c>
      <c r="E25" s="190">
        <v>1</v>
      </c>
      <c r="F25" s="190">
        <v>2</v>
      </c>
      <c r="G25" s="190">
        <v>2</v>
      </c>
      <c r="H25" s="190">
        <v>2</v>
      </c>
      <c r="I25" s="190">
        <v>3</v>
      </c>
      <c r="J25" s="190">
        <v>2</v>
      </c>
      <c r="K25" s="191">
        <v>1</v>
      </c>
      <c r="L25" s="191">
        <v>7</v>
      </c>
      <c r="M25" s="192">
        <f t="shared" si="0"/>
        <v>20</v>
      </c>
      <c r="N25" s="193">
        <f t="shared" si="1"/>
        <v>1</v>
      </c>
      <c r="O25" s="194">
        <f t="shared" si="2"/>
        <v>140</v>
      </c>
      <c r="P25" s="195" t="str">
        <f t="shared" si="3"/>
        <v>CONSTRUCTIVE</v>
      </c>
      <c r="Q25" s="200" t="str">
        <f t="shared" si="4"/>
        <v>S_c</v>
      </c>
    </row>
    <row r="26" spans="1:17" x14ac:dyDescent="0.3">
      <c r="A26" s="199" t="s">
        <v>787</v>
      </c>
      <c r="B26" s="190">
        <v>-3</v>
      </c>
      <c r="C26" s="190">
        <v>-3</v>
      </c>
      <c r="D26" s="190">
        <v>-3</v>
      </c>
      <c r="E26" s="190">
        <v>-3</v>
      </c>
      <c r="F26" s="190">
        <v>-3</v>
      </c>
      <c r="G26" s="190">
        <v>-1</v>
      </c>
      <c r="H26" s="190">
        <v>-3</v>
      </c>
      <c r="I26" s="190">
        <v>-2</v>
      </c>
      <c r="J26" s="190">
        <v>-2</v>
      </c>
      <c r="K26" s="191">
        <v>-1</v>
      </c>
      <c r="L26" s="191">
        <v>10</v>
      </c>
      <c r="M26" s="192">
        <f t="shared" si="0"/>
        <v>-23</v>
      </c>
      <c r="N26" s="193">
        <f t="shared" si="1"/>
        <v>-3</v>
      </c>
      <c r="O26" s="194">
        <f t="shared" si="2"/>
        <v>230</v>
      </c>
      <c r="P26" s="195" t="str">
        <f t="shared" si="3"/>
        <v>DESTRUCTIVE</v>
      </c>
      <c r="Q26" s="200" t="str">
        <f t="shared" si="4"/>
        <v>G</v>
      </c>
    </row>
    <row r="27" spans="1:17" x14ac:dyDescent="0.3">
      <c r="A27" s="199" t="s">
        <v>788</v>
      </c>
      <c r="B27" s="190">
        <v>1</v>
      </c>
      <c r="C27" s="190">
        <v>1</v>
      </c>
      <c r="D27" s="190">
        <v>-1</v>
      </c>
      <c r="E27" s="190">
        <v>-1</v>
      </c>
      <c r="F27" s="190">
        <v>-2</v>
      </c>
      <c r="G27" s="190">
        <v>0</v>
      </c>
      <c r="H27" s="190">
        <v>-1</v>
      </c>
      <c r="I27" s="190">
        <v>1</v>
      </c>
      <c r="J27" s="190">
        <v>-1</v>
      </c>
      <c r="K27" s="191">
        <v>0</v>
      </c>
      <c r="L27" s="191">
        <v>9</v>
      </c>
      <c r="M27" s="192">
        <f t="shared" si="0"/>
        <v>-3</v>
      </c>
      <c r="N27" s="193">
        <f t="shared" si="1"/>
        <v>-2</v>
      </c>
      <c r="O27" s="194">
        <f t="shared" si="2"/>
        <v>0</v>
      </c>
      <c r="P27" s="195" t="str">
        <f t="shared" si="3"/>
        <v>DESTRUCTIVE</v>
      </c>
      <c r="Q27" s="200" t="str">
        <f t="shared" si="4"/>
        <v>T</v>
      </c>
    </row>
    <row r="28" spans="1:17" x14ac:dyDescent="0.3">
      <c r="A28" s="199" t="s">
        <v>789</v>
      </c>
      <c r="B28" s="190">
        <v>-3</v>
      </c>
      <c r="C28" s="190">
        <v>-3</v>
      </c>
      <c r="D28" s="190">
        <v>-3</v>
      </c>
      <c r="E28" s="190">
        <v>-3</v>
      </c>
      <c r="F28" s="190">
        <v>-3</v>
      </c>
      <c r="G28" s="190">
        <v>-3</v>
      </c>
      <c r="H28" s="190">
        <v>-3</v>
      </c>
      <c r="I28" s="190">
        <v>-3</v>
      </c>
      <c r="J28" s="190">
        <v>-3</v>
      </c>
      <c r="K28" s="191">
        <v>-1</v>
      </c>
      <c r="L28" s="191">
        <v>10</v>
      </c>
      <c r="M28" s="192">
        <f t="shared" si="0"/>
        <v>-27</v>
      </c>
      <c r="N28" s="193">
        <f t="shared" si="1"/>
        <v>-3</v>
      </c>
      <c r="O28" s="194">
        <f t="shared" si="2"/>
        <v>270</v>
      </c>
      <c r="P28" s="195" t="str">
        <f t="shared" si="3"/>
        <v>DESTRUCTIVE</v>
      </c>
      <c r="Q28" s="200" t="str">
        <f t="shared" si="4"/>
        <v>G</v>
      </c>
    </row>
    <row r="29" spans="1:17" x14ac:dyDescent="0.3">
      <c r="A29" s="199" t="s">
        <v>790</v>
      </c>
      <c r="B29" s="190">
        <v>2</v>
      </c>
      <c r="C29" s="190">
        <v>2</v>
      </c>
      <c r="D29" s="190">
        <v>2</v>
      </c>
      <c r="E29" s="190">
        <v>1</v>
      </c>
      <c r="F29" s="190">
        <v>1</v>
      </c>
      <c r="G29" s="190">
        <v>3</v>
      </c>
      <c r="H29" s="190">
        <v>2</v>
      </c>
      <c r="I29" s="190">
        <v>3</v>
      </c>
      <c r="J29" s="190">
        <v>2</v>
      </c>
      <c r="K29" s="191">
        <v>1</v>
      </c>
      <c r="L29" s="191">
        <v>8</v>
      </c>
      <c r="M29" s="192">
        <f t="shared" si="0"/>
        <v>18</v>
      </c>
      <c r="N29" s="193">
        <f t="shared" si="1"/>
        <v>1</v>
      </c>
      <c r="O29" s="194">
        <f t="shared" si="2"/>
        <v>144</v>
      </c>
      <c r="P29" s="195" t="str">
        <f t="shared" si="3"/>
        <v>CONSTRUCTIVE</v>
      </c>
      <c r="Q29" s="200" t="str">
        <f t="shared" si="4"/>
        <v>S_c</v>
      </c>
    </row>
    <row r="30" spans="1:17" x14ac:dyDescent="0.3">
      <c r="A30" s="199" t="s">
        <v>791</v>
      </c>
      <c r="B30" s="190">
        <v>0</v>
      </c>
      <c r="C30" s="190">
        <v>1</v>
      </c>
      <c r="D30" s="190">
        <v>-1</v>
      </c>
      <c r="E30" s="190">
        <v>-2</v>
      </c>
      <c r="F30" s="190">
        <v>-1</v>
      </c>
      <c r="G30" s="190">
        <v>-2</v>
      </c>
      <c r="H30" s="190">
        <v>0</v>
      </c>
      <c r="I30" s="190">
        <v>-1</v>
      </c>
      <c r="J30" s="190">
        <v>-2</v>
      </c>
      <c r="K30" s="191">
        <v>0</v>
      </c>
      <c r="L30" s="191">
        <v>9</v>
      </c>
      <c r="M30" s="192">
        <f t="shared" si="0"/>
        <v>-8</v>
      </c>
      <c r="N30" s="193">
        <f t="shared" si="1"/>
        <v>-2</v>
      </c>
      <c r="O30" s="194">
        <f t="shared" si="2"/>
        <v>0</v>
      </c>
      <c r="P30" s="195" t="str">
        <f t="shared" si="3"/>
        <v>DESTRUCTIVE</v>
      </c>
      <c r="Q30" s="200" t="str">
        <f t="shared" si="4"/>
        <v>S_c</v>
      </c>
    </row>
    <row r="31" spans="1:17" x14ac:dyDescent="0.3">
      <c r="A31" s="199" t="s">
        <v>792</v>
      </c>
      <c r="B31" s="190">
        <v>3</v>
      </c>
      <c r="C31" s="190">
        <v>3</v>
      </c>
      <c r="D31" s="190">
        <v>2</v>
      </c>
      <c r="E31" s="190">
        <v>1</v>
      </c>
      <c r="F31" s="190">
        <v>3</v>
      </c>
      <c r="G31" s="190">
        <v>2</v>
      </c>
      <c r="H31" s="190">
        <v>2</v>
      </c>
      <c r="I31" s="190">
        <v>3</v>
      </c>
      <c r="J31" s="190">
        <v>2</v>
      </c>
      <c r="K31" s="191">
        <v>1</v>
      </c>
      <c r="L31" s="191">
        <v>8</v>
      </c>
      <c r="M31" s="192">
        <f t="shared" si="0"/>
        <v>21</v>
      </c>
      <c r="N31" s="193">
        <f t="shared" si="1"/>
        <v>1</v>
      </c>
      <c r="O31" s="194">
        <f t="shared" si="2"/>
        <v>168</v>
      </c>
      <c r="P31" s="195" t="str">
        <f t="shared" si="3"/>
        <v>CONSTRUCTIVE</v>
      </c>
      <c r="Q31" s="200" t="str">
        <f t="shared" si="4"/>
        <v>S_c</v>
      </c>
    </row>
    <row r="32" spans="1:17" x14ac:dyDescent="0.3">
      <c r="A32" s="199" t="s">
        <v>793</v>
      </c>
      <c r="B32" s="190">
        <v>0</v>
      </c>
      <c r="C32" s="190">
        <v>1</v>
      </c>
      <c r="D32" s="190">
        <v>2</v>
      </c>
      <c r="E32" s="190">
        <v>-2</v>
      </c>
      <c r="F32" s="190">
        <v>-1</v>
      </c>
      <c r="G32" s="190">
        <v>-1</v>
      </c>
      <c r="H32" s="190">
        <v>-1</v>
      </c>
      <c r="I32" s="190">
        <v>-1</v>
      </c>
      <c r="J32" s="190">
        <v>-2</v>
      </c>
      <c r="K32" s="191">
        <v>-1</v>
      </c>
      <c r="L32" s="191">
        <v>10</v>
      </c>
      <c r="M32" s="192">
        <f t="shared" si="0"/>
        <v>-5</v>
      </c>
      <c r="N32" s="193">
        <f t="shared" si="1"/>
        <v>-2</v>
      </c>
      <c r="O32" s="194">
        <f t="shared" si="2"/>
        <v>50</v>
      </c>
      <c r="P32" s="195" t="str">
        <f t="shared" si="3"/>
        <v>DESTRUCTIVE</v>
      </c>
      <c r="Q32" s="200" t="str">
        <f t="shared" si="4"/>
        <v>S_c</v>
      </c>
    </row>
    <row r="34" spans="1:4" x14ac:dyDescent="0.3">
      <c r="A34" s="76" t="s">
        <v>795</v>
      </c>
      <c r="B34" s="77"/>
      <c r="C34" s="77"/>
      <c r="D34" s="77"/>
    </row>
    <row r="35" spans="1:4" x14ac:dyDescent="0.3">
      <c r="A35" s="15" t="s">
        <v>796</v>
      </c>
    </row>
    <row r="36" spans="1:4" x14ac:dyDescent="0.3">
      <c r="A36" s="15" t="s">
        <v>797</v>
      </c>
    </row>
    <row r="37" spans="1:4" x14ac:dyDescent="0.3">
      <c r="A37" s="15" t="s">
        <v>798</v>
      </c>
    </row>
    <row r="38" spans="1:4" x14ac:dyDescent="0.3">
      <c r="A38" s="15" t="s">
        <v>799</v>
      </c>
    </row>
    <row r="40" spans="1:4" x14ac:dyDescent="0.3">
      <c r="A40" s="76" t="s">
        <v>800</v>
      </c>
      <c r="B40" s="77"/>
      <c r="C40" s="77"/>
      <c r="D40" s="77"/>
    </row>
    <row r="41" spans="1:4" x14ac:dyDescent="0.3">
      <c r="A41" s="15" t="s">
        <v>801</v>
      </c>
    </row>
    <row r="42" spans="1:4" x14ac:dyDescent="0.3">
      <c r="A42" s="15" t="s">
        <v>802</v>
      </c>
    </row>
    <row r="43" spans="1:4" x14ac:dyDescent="0.3">
      <c r="A43" s="15" t="s">
        <v>803</v>
      </c>
    </row>
    <row r="44" spans="1:4" x14ac:dyDescent="0.3">
      <c r="A44" s="15" t="s">
        <v>804</v>
      </c>
    </row>
    <row r="45" spans="1:4" x14ac:dyDescent="0.3">
      <c r="A45" s="189" t="s">
        <v>805</v>
      </c>
    </row>
  </sheetData>
  <conditionalFormatting sqref="B23:J32">
    <cfRule type="cellIs" dxfId="4" priority="1" operator="lessThan">
      <formula>0</formula>
    </cfRule>
  </conditionalFormatting>
  <conditionalFormatting sqref="B23:J32">
    <cfRule type="cellIs" dxfId="3" priority="2" operator="greaterThan">
      <formula>0</formula>
    </cfRule>
  </conditionalFormatting>
  <conditionalFormatting sqref="B23:J32">
    <cfRule type="cellIs" dxfId="2" priority="3" operator="equal">
      <formula>0</formula>
    </cfRule>
  </conditionalFormatting>
  <conditionalFormatting sqref="P23:P32">
    <cfRule type="containsText" dxfId="1" priority="4" operator="containsText" text="DESTRUCTIVE">
      <formula>NOT(ISERROR(SEARCH("DESTRUCTIVE",P23)))</formula>
    </cfRule>
  </conditionalFormatting>
  <conditionalFormatting sqref="P23:P32">
    <cfRule type="containsText" dxfId="0" priority="5" operator="containsText" text="CONSTRUCTIVE">
      <formula>NOT(ISERROR(SEARCH("CONSTRUCTIVE",P23)))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BA0F-CE32-4CB1-AB14-10B11507660F}">
  <dimension ref="A1:N6"/>
  <sheetViews>
    <sheetView workbookViewId="0"/>
  </sheetViews>
  <sheetFormatPr defaultRowHeight="14.4" x14ac:dyDescent="0.3"/>
  <sheetData>
    <row r="1" spans="1:14" ht="18" x14ac:dyDescent="0.35">
      <c r="A1" s="180" t="s">
        <v>806</v>
      </c>
    </row>
    <row r="2" spans="1:14" x14ac:dyDescent="0.3">
      <c r="A2" s="181" t="s">
        <v>807</v>
      </c>
    </row>
    <row r="3" spans="1:14" x14ac:dyDescent="0.3">
      <c r="A3" s="182" t="s">
        <v>808</v>
      </c>
    </row>
    <row r="5" spans="1:14" x14ac:dyDescent="0.3">
      <c r="A5" s="76" t="s">
        <v>809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</row>
    <row r="6" spans="1:14" x14ac:dyDescent="0.3">
      <c r="A6" s="185" t="s">
        <v>771</v>
      </c>
      <c r="B6" s="186" t="s">
        <v>810</v>
      </c>
      <c r="C6" s="186" t="s">
        <v>772</v>
      </c>
      <c r="D6" s="186" t="s">
        <v>70</v>
      </c>
      <c r="E6" s="186" t="s">
        <v>773</v>
      </c>
      <c r="F6" s="186" t="s">
        <v>774</v>
      </c>
      <c r="G6" s="186" t="s">
        <v>775</v>
      </c>
      <c r="H6" s="186" t="s">
        <v>776</v>
      </c>
      <c r="I6" s="186" t="s">
        <v>777</v>
      </c>
      <c r="J6" s="186" t="s">
        <v>778</v>
      </c>
      <c r="K6" s="186" t="s">
        <v>779</v>
      </c>
      <c r="L6" s="187" t="s">
        <v>472</v>
      </c>
      <c r="M6" s="188" t="s">
        <v>811</v>
      </c>
      <c r="N6" s="188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AF31-9EDB-4538-8065-E0D9F6AA5BEA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1A869-7FE4-4C31-88B0-8D32628F1344}">
  <dimension ref="A1:G48"/>
  <sheetViews>
    <sheetView workbookViewId="0"/>
  </sheetViews>
  <sheetFormatPr defaultRowHeight="14.4" x14ac:dyDescent="0.3"/>
  <cols>
    <col min="1" max="1" width="46.33203125" customWidth="1"/>
    <col min="2" max="8" width="16.6640625" customWidth="1"/>
  </cols>
  <sheetData>
    <row r="1" spans="1:7" ht="18" x14ac:dyDescent="0.35">
      <c r="A1" s="74" t="s">
        <v>180</v>
      </c>
    </row>
    <row r="2" spans="1:7" x14ac:dyDescent="0.3">
      <c r="A2" s="75" t="s">
        <v>181</v>
      </c>
    </row>
    <row r="4" spans="1:7" ht="15.6" x14ac:dyDescent="0.3">
      <c r="A4" s="88" t="s">
        <v>182</v>
      </c>
    </row>
    <row r="6" spans="1:7" x14ac:dyDescent="0.3">
      <c r="A6" s="76" t="s">
        <v>183</v>
      </c>
      <c r="B6" s="80" t="s">
        <v>184</v>
      </c>
      <c r="C6" s="80" t="s">
        <v>185</v>
      </c>
      <c r="D6" s="80" t="s">
        <v>186</v>
      </c>
      <c r="E6" s="80" t="s">
        <v>187</v>
      </c>
      <c r="F6" s="80" t="s">
        <v>188</v>
      </c>
      <c r="G6" s="80" t="s">
        <v>189</v>
      </c>
    </row>
    <row r="7" spans="1:7" x14ac:dyDescent="0.3">
      <c r="A7" s="94" t="s">
        <v>140</v>
      </c>
      <c r="B7" s="106"/>
      <c r="C7" s="106"/>
      <c r="D7" s="106"/>
      <c r="E7" s="106"/>
      <c r="F7" s="106"/>
      <c r="G7" s="106"/>
    </row>
    <row r="8" spans="1:7" x14ac:dyDescent="0.3">
      <c r="A8" t="s">
        <v>190</v>
      </c>
      <c r="B8" s="107"/>
      <c r="C8" s="107"/>
      <c r="D8" s="107"/>
      <c r="E8" s="107"/>
      <c r="F8" s="107"/>
      <c r="G8" s="24" t="str">
        <f>IF(COUNTA(B8:F8)&lt;2,"",IF(F8&lt;B8,"↓ Declining",IF(F8&gt;B8,"↑ Growing","↔ Stable")))</f>
        <v/>
      </c>
    </row>
    <row r="9" spans="1:7" x14ac:dyDescent="0.3">
      <c r="A9" t="s">
        <v>191</v>
      </c>
      <c r="B9" s="107"/>
      <c r="C9" s="107"/>
      <c r="D9" s="107"/>
      <c r="E9" s="107"/>
      <c r="F9" s="107"/>
      <c r="G9" t="str">
        <f t="shared" ref="G9:G12" si="0">IF(COUNTA(B9:F9)&lt;2,"",IF(F9&lt;B9,"↓ Declining",IF(F9&gt;B9,"↑ Growing","↔ Stable")))</f>
        <v/>
      </c>
    </row>
    <row r="10" spans="1:7" x14ac:dyDescent="0.3">
      <c r="A10" t="s">
        <v>192</v>
      </c>
      <c r="B10" s="107"/>
      <c r="C10" s="107"/>
      <c r="D10" s="107"/>
      <c r="E10" s="107"/>
      <c r="F10" s="107"/>
      <c r="G10" t="str">
        <f t="shared" si="0"/>
        <v/>
      </c>
    </row>
    <row r="11" spans="1:7" x14ac:dyDescent="0.3">
      <c r="A11" t="s">
        <v>193</v>
      </c>
      <c r="B11" s="107"/>
      <c r="C11" s="107"/>
      <c r="D11" s="107"/>
      <c r="E11" s="107"/>
      <c r="F11" s="107"/>
      <c r="G11" t="str">
        <f t="shared" si="0"/>
        <v/>
      </c>
    </row>
    <row r="12" spans="1:7" x14ac:dyDescent="0.3">
      <c r="A12" t="s">
        <v>194</v>
      </c>
      <c r="B12" s="107"/>
      <c r="C12" s="107"/>
      <c r="D12" s="107"/>
      <c r="E12" s="107"/>
      <c r="F12" s="107"/>
      <c r="G12" t="str">
        <f t="shared" si="0"/>
        <v/>
      </c>
    </row>
    <row r="14" spans="1:7" x14ac:dyDescent="0.3">
      <c r="A14" s="101" t="s">
        <v>156</v>
      </c>
      <c r="B14" s="108"/>
      <c r="C14" s="108"/>
      <c r="D14" s="108"/>
      <c r="E14" s="108"/>
      <c r="F14" s="108"/>
      <c r="G14" s="108"/>
    </row>
    <row r="15" spans="1:7" x14ac:dyDescent="0.3">
      <c r="A15" t="s">
        <v>195</v>
      </c>
      <c r="B15" s="107"/>
      <c r="C15" s="107"/>
      <c r="D15" s="107"/>
      <c r="E15" s="107"/>
      <c r="F15" s="107"/>
      <c r="G15" s="24" t="str">
        <f>IF(COUNTA(B15:F15)&lt;2,"",IF(F15&gt;B15,"↑ Growing",IF(F15&lt;B15,"↓ Declining","↔ Stable")))</f>
        <v/>
      </c>
    </row>
    <row r="16" spans="1:7" x14ac:dyDescent="0.3">
      <c r="A16" t="s">
        <v>196</v>
      </c>
      <c r="B16" s="109"/>
      <c r="C16" s="109"/>
      <c r="D16" s="109"/>
      <c r="E16" s="109"/>
      <c r="F16" s="109"/>
      <c r="G16" t="str">
        <f t="shared" ref="G16:G19" si="1">IF(COUNTA(B16:F16)&lt;2,"",IF(F16&gt;B16,"↑ Growing",IF(F16&lt;B16,"↓ Declining","↔ Stable")))</f>
        <v/>
      </c>
    </row>
    <row r="17" spans="1:7" x14ac:dyDescent="0.3">
      <c r="A17" t="s">
        <v>197</v>
      </c>
      <c r="B17" s="110"/>
      <c r="C17" s="110"/>
      <c r="D17" s="110"/>
      <c r="E17" s="110"/>
      <c r="F17" s="110"/>
      <c r="G17" t="str">
        <f t="shared" si="1"/>
        <v/>
      </c>
    </row>
    <row r="18" spans="1:7" x14ac:dyDescent="0.3">
      <c r="A18" t="s">
        <v>198</v>
      </c>
      <c r="B18" s="110"/>
      <c r="C18" s="110"/>
      <c r="D18" s="110"/>
      <c r="E18" s="110"/>
      <c r="F18" s="110"/>
      <c r="G18" t="str">
        <f t="shared" si="1"/>
        <v/>
      </c>
    </row>
    <row r="19" spans="1:7" x14ac:dyDescent="0.3">
      <c r="A19" t="s">
        <v>199</v>
      </c>
      <c r="B19" s="109"/>
      <c r="C19" s="109"/>
      <c r="D19" s="109"/>
      <c r="E19" s="109"/>
      <c r="F19" s="109"/>
      <c r="G19" t="str">
        <f t="shared" si="1"/>
        <v/>
      </c>
    </row>
    <row r="21" spans="1:7" ht="15.6" x14ac:dyDescent="0.3">
      <c r="A21" s="88" t="s">
        <v>200</v>
      </c>
    </row>
    <row r="23" spans="1:7" x14ac:dyDescent="0.3">
      <c r="A23" s="76" t="s">
        <v>201</v>
      </c>
      <c r="B23" s="80" t="s">
        <v>202</v>
      </c>
      <c r="D23" s="80" t="s">
        <v>203</v>
      </c>
      <c r="F23" s="80" t="s">
        <v>204</v>
      </c>
    </row>
    <row r="24" spans="1:7" x14ac:dyDescent="0.3">
      <c r="A24" t="s">
        <v>184</v>
      </c>
      <c r="B24" t="s">
        <v>205</v>
      </c>
      <c r="D24" t="s">
        <v>206</v>
      </c>
      <c r="F24" s="112" t="s">
        <v>207</v>
      </c>
    </row>
    <row r="25" spans="1:7" x14ac:dyDescent="0.3">
      <c r="A25" t="s">
        <v>185</v>
      </c>
      <c r="B25" t="s">
        <v>208</v>
      </c>
      <c r="D25" t="s">
        <v>209</v>
      </c>
      <c r="F25" s="114" t="s">
        <v>210</v>
      </c>
    </row>
    <row r="26" spans="1:7" x14ac:dyDescent="0.3">
      <c r="A26" t="s">
        <v>186</v>
      </c>
      <c r="B26" t="s">
        <v>211</v>
      </c>
      <c r="D26" t="s">
        <v>212</v>
      </c>
      <c r="F26" s="115" t="s">
        <v>213</v>
      </c>
    </row>
    <row r="27" spans="1:7" x14ac:dyDescent="0.3">
      <c r="A27" t="s">
        <v>187</v>
      </c>
      <c r="B27" t="s">
        <v>214</v>
      </c>
      <c r="D27" t="s">
        <v>215</v>
      </c>
      <c r="F27" s="115" t="s">
        <v>216</v>
      </c>
    </row>
    <row r="28" spans="1:7" x14ac:dyDescent="0.3">
      <c r="A28" t="s">
        <v>188</v>
      </c>
      <c r="B28" t="s">
        <v>217</v>
      </c>
      <c r="D28" t="s">
        <v>218</v>
      </c>
      <c r="F28" s="116" t="s">
        <v>219</v>
      </c>
    </row>
    <row r="30" spans="1:7" x14ac:dyDescent="0.3">
      <c r="A30" s="90" t="s">
        <v>220</v>
      </c>
    </row>
    <row r="31" spans="1:7" x14ac:dyDescent="0.3">
      <c r="A31" t="s">
        <v>221</v>
      </c>
    </row>
    <row r="32" spans="1:7" x14ac:dyDescent="0.3">
      <c r="A32" t="s">
        <v>222</v>
      </c>
    </row>
    <row r="33" spans="1:7" x14ac:dyDescent="0.3">
      <c r="A33" s="93" t="s">
        <v>223</v>
      </c>
    </row>
    <row r="35" spans="1:7" ht="15.6" x14ac:dyDescent="0.3">
      <c r="A35" s="88" t="s">
        <v>224</v>
      </c>
    </row>
    <row r="36" spans="1:7" x14ac:dyDescent="0.3">
      <c r="A36" t="s">
        <v>225</v>
      </c>
    </row>
    <row r="37" spans="1:7" x14ac:dyDescent="0.3">
      <c r="A37" s="15" t="s">
        <v>226</v>
      </c>
    </row>
    <row r="38" spans="1:7" x14ac:dyDescent="0.3">
      <c r="A38" s="90" t="s">
        <v>227</v>
      </c>
    </row>
    <row r="40" spans="1:7" x14ac:dyDescent="0.3">
      <c r="A40" s="91" t="s">
        <v>228</v>
      </c>
      <c r="C40" s="92" t="s">
        <v>229</v>
      </c>
      <c r="E40" s="92" t="s">
        <v>230</v>
      </c>
      <c r="G40" s="92" t="s">
        <v>231</v>
      </c>
    </row>
    <row r="41" spans="1:7" x14ac:dyDescent="0.3">
      <c r="A41" t="s">
        <v>232</v>
      </c>
      <c r="C41" t="s">
        <v>233</v>
      </c>
      <c r="E41" s="85"/>
      <c r="G41" s="85"/>
    </row>
    <row r="42" spans="1:7" x14ac:dyDescent="0.3">
      <c r="A42" t="s">
        <v>234</v>
      </c>
      <c r="C42" t="s">
        <v>235</v>
      </c>
      <c r="E42" s="85"/>
      <c r="G42" s="85"/>
    </row>
    <row r="43" spans="1:7" x14ac:dyDescent="0.3">
      <c r="A43" t="s">
        <v>236</v>
      </c>
      <c r="C43" t="s">
        <v>237</v>
      </c>
      <c r="E43" s="85"/>
      <c r="G43" s="85"/>
    </row>
    <row r="44" spans="1:7" x14ac:dyDescent="0.3">
      <c r="A44" t="s">
        <v>238</v>
      </c>
      <c r="C44" t="s">
        <v>239</v>
      </c>
      <c r="E44" s="85"/>
      <c r="G44" s="85"/>
    </row>
    <row r="46" spans="1:7" x14ac:dyDescent="0.3">
      <c r="A46" s="89" t="s">
        <v>240</v>
      </c>
    </row>
    <row r="47" spans="1:7" x14ac:dyDescent="0.3">
      <c r="A47" s="117" t="s">
        <v>241</v>
      </c>
    </row>
    <row r="48" spans="1:7" x14ac:dyDescent="0.3">
      <c r="A48" s="15" t="s">
        <v>242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35FD-FBB1-4056-964F-1C4DBC99191E}">
  <dimension ref="A1:H112"/>
  <sheetViews>
    <sheetView workbookViewId="0"/>
  </sheetViews>
  <sheetFormatPr defaultRowHeight="14.4" x14ac:dyDescent="0.3"/>
  <cols>
    <col min="1" max="1" width="29.6640625" customWidth="1"/>
    <col min="2" max="2" width="18.5546875" customWidth="1"/>
    <col min="3" max="4" width="24.109375" customWidth="1"/>
    <col min="5" max="5" width="14.77734375" customWidth="1"/>
    <col min="6" max="6" width="24.109375" customWidth="1"/>
    <col min="7" max="7" width="14.77734375" customWidth="1"/>
    <col min="8" max="8" width="29.6640625" customWidth="1"/>
  </cols>
  <sheetData>
    <row r="1" spans="1:8" ht="18" x14ac:dyDescent="0.35">
      <c r="A1" s="74" t="s">
        <v>243</v>
      </c>
    </row>
    <row r="2" spans="1:8" x14ac:dyDescent="0.3">
      <c r="A2" s="75" t="s">
        <v>244</v>
      </c>
    </row>
    <row r="4" spans="1:8" x14ac:dyDescent="0.3">
      <c r="A4" s="90" t="s">
        <v>245</v>
      </c>
    </row>
    <row r="5" spans="1:8" x14ac:dyDescent="0.3">
      <c r="A5" s="15" t="s">
        <v>246</v>
      </c>
    </row>
    <row r="6" spans="1:8" x14ac:dyDescent="0.3">
      <c r="A6" s="89" t="s">
        <v>247</v>
      </c>
    </row>
    <row r="8" spans="1:8" x14ac:dyDescent="0.3">
      <c r="A8" s="76" t="s">
        <v>68</v>
      </c>
      <c r="B8" s="80" t="s">
        <v>248</v>
      </c>
      <c r="C8" s="80" t="s">
        <v>249</v>
      </c>
      <c r="D8" s="80" t="s">
        <v>250</v>
      </c>
      <c r="E8" s="80" t="s">
        <v>251</v>
      </c>
      <c r="F8" s="80" t="s">
        <v>252</v>
      </c>
      <c r="G8" s="80" t="s">
        <v>253</v>
      </c>
      <c r="H8" s="80" t="s">
        <v>254</v>
      </c>
    </row>
    <row r="9" spans="1:8" x14ac:dyDescent="0.3">
      <c r="A9" s="119" t="s">
        <v>255</v>
      </c>
      <c r="B9" s="120"/>
      <c r="C9" s="120"/>
      <c r="D9" s="120"/>
      <c r="E9" s="120"/>
      <c r="F9" s="120"/>
      <c r="G9" s="120"/>
      <c r="H9" s="120"/>
    </row>
    <row r="10" spans="1:8" ht="43.2" x14ac:dyDescent="0.3">
      <c r="A10" s="15" t="s">
        <v>256</v>
      </c>
      <c r="B10" t="s">
        <v>257</v>
      </c>
      <c r="C10" s="127" t="s">
        <v>258</v>
      </c>
      <c r="D10" s="127" t="s">
        <v>259</v>
      </c>
      <c r="E10" s="24" t="s">
        <v>260</v>
      </c>
      <c r="F10" s="127" t="s">
        <v>261</v>
      </c>
      <c r="G10" s="112" t="s">
        <v>262</v>
      </c>
      <c r="H10" s="127" t="s">
        <v>263</v>
      </c>
    </row>
    <row r="11" spans="1:8" ht="43.2" x14ac:dyDescent="0.3">
      <c r="A11" s="15" t="s">
        <v>264</v>
      </c>
      <c r="B11" t="s">
        <v>265</v>
      </c>
      <c r="C11" s="127" t="s">
        <v>266</v>
      </c>
      <c r="D11" s="127" t="s">
        <v>267</v>
      </c>
      <c r="E11" s="24" t="s">
        <v>262</v>
      </c>
      <c r="F11" s="127" t="s">
        <v>268</v>
      </c>
      <c r="G11" s="112" t="s">
        <v>262</v>
      </c>
      <c r="H11" s="127" t="s">
        <v>269</v>
      </c>
    </row>
    <row r="12" spans="1:8" ht="43.2" x14ac:dyDescent="0.3">
      <c r="A12" s="15" t="s">
        <v>270</v>
      </c>
      <c r="B12" t="s">
        <v>271</v>
      </c>
      <c r="C12" s="127" t="s">
        <v>272</v>
      </c>
      <c r="D12" s="127" t="s">
        <v>273</v>
      </c>
      <c r="E12" s="24" t="s">
        <v>274</v>
      </c>
      <c r="F12" s="127" t="s">
        <v>275</v>
      </c>
      <c r="G12" s="112" t="s">
        <v>262</v>
      </c>
      <c r="H12" s="127" t="s">
        <v>276</v>
      </c>
    </row>
    <row r="13" spans="1:8" ht="57.6" x14ac:dyDescent="0.3">
      <c r="A13" s="15" t="s">
        <v>277</v>
      </c>
      <c r="B13" t="s">
        <v>278</v>
      </c>
      <c r="C13" s="127" t="s">
        <v>279</v>
      </c>
      <c r="D13" s="127" t="s">
        <v>280</v>
      </c>
      <c r="E13" s="24" t="s">
        <v>281</v>
      </c>
      <c r="F13" s="127" t="s">
        <v>282</v>
      </c>
      <c r="G13" s="114" t="s">
        <v>283</v>
      </c>
      <c r="H13" s="127" t="s">
        <v>284</v>
      </c>
    </row>
    <row r="14" spans="1:8" ht="43.2" x14ac:dyDescent="0.3">
      <c r="A14" s="15" t="s">
        <v>285</v>
      </c>
      <c r="B14" t="s">
        <v>286</v>
      </c>
      <c r="C14" s="127" t="s">
        <v>287</v>
      </c>
      <c r="D14" s="127" t="s">
        <v>288</v>
      </c>
      <c r="E14" s="24" t="s">
        <v>262</v>
      </c>
      <c r="F14" s="127" t="s">
        <v>289</v>
      </c>
      <c r="G14" s="112" t="s">
        <v>262</v>
      </c>
      <c r="H14" s="127" t="s">
        <v>290</v>
      </c>
    </row>
    <row r="15" spans="1:8" ht="43.2" x14ac:dyDescent="0.3">
      <c r="A15" s="15" t="s">
        <v>291</v>
      </c>
      <c r="B15" t="s">
        <v>292</v>
      </c>
      <c r="C15" s="127" t="s">
        <v>293</v>
      </c>
      <c r="D15" s="127" t="s">
        <v>294</v>
      </c>
      <c r="E15" s="24" t="s">
        <v>260</v>
      </c>
      <c r="F15" s="127" t="s">
        <v>295</v>
      </c>
      <c r="G15" s="114" t="s">
        <v>296</v>
      </c>
      <c r="H15" s="127" t="s">
        <v>297</v>
      </c>
    </row>
    <row r="16" spans="1:8" ht="43.2" x14ac:dyDescent="0.3">
      <c r="A16" s="15" t="s">
        <v>298</v>
      </c>
      <c r="B16" t="s">
        <v>278</v>
      </c>
      <c r="C16" s="127" t="s">
        <v>299</v>
      </c>
      <c r="D16" s="127" t="s">
        <v>300</v>
      </c>
      <c r="E16" s="24" t="s">
        <v>301</v>
      </c>
      <c r="F16" s="127" t="s">
        <v>302</v>
      </c>
      <c r="G16" s="112" t="s">
        <v>262</v>
      </c>
      <c r="H16" s="127" t="s">
        <v>303</v>
      </c>
    </row>
    <row r="17" spans="1:8" x14ac:dyDescent="0.3">
      <c r="C17" s="127"/>
      <c r="D17" s="127"/>
      <c r="F17" s="127"/>
      <c r="H17" s="127"/>
    </row>
    <row r="18" spans="1:8" x14ac:dyDescent="0.3">
      <c r="A18" s="121" t="s">
        <v>304</v>
      </c>
      <c r="B18" s="122"/>
      <c r="C18" s="128"/>
      <c r="D18" s="128"/>
      <c r="E18" s="122"/>
      <c r="F18" s="128"/>
      <c r="G18" s="122"/>
      <c r="H18" s="128"/>
    </row>
    <row r="19" spans="1:8" ht="43.2" x14ac:dyDescent="0.3">
      <c r="A19" s="15" t="s">
        <v>75</v>
      </c>
      <c r="B19" t="s">
        <v>305</v>
      </c>
      <c r="C19" s="127" t="s">
        <v>306</v>
      </c>
      <c r="D19" s="127" t="s">
        <v>307</v>
      </c>
      <c r="E19" s="24" t="s">
        <v>308</v>
      </c>
      <c r="F19" s="127" t="s">
        <v>309</v>
      </c>
      <c r="G19" s="115" t="s">
        <v>274</v>
      </c>
      <c r="H19" s="127" t="s">
        <v>310</v>
      </c>
    </row>
    <row r="20" spans="1:8" ht="43.2" x14ac:dyDescent="0.3">
      <c r="A20" s="15" t="s">
        <v>311</v>
      </c>
      <c r="B20" t="s">
        <v>312</v>
      </c>
      <c r="C20" s="127" t="s">
        <v>313</v>
      </c>
      <c r="D20" s="127" t="s">
        <v>314</v>
      </c>
      <c r="E20" s="24" t="s">
        <v>274</v>
      </c>
      <c r="F20" s="127" t="s">
        <v>315</v>
      </c>
      <c r="G20" s="112" t="s">
        <v>262</v>
      </c>
      <c r="H20" s="127" t="s">
        <v>316</v>
      </c>
    </row>
    <row r="21" spans="1:8" ht="43.2" x14ac:dyDescent="0.3">
      <c r="A21" s="15" t="s">
        <v>317</v>
      </c>
      <c r="B21" t="s">
        <v>318</v>
      </c>
      <c r="C21" s="127" t="s">
        <v>319</v>
      </c>
      <c r="D21" s="127" t="s">
        <v>301</v>
      </c>
      <c r="E21" s="24" t="s">
        <v>301</v>
      </c>
      <c r="F21" s="127" t="s">
        <v>320</v>
      </c>
      <c r="G21" s="112" t="s">
        <v>262</v>
      </c>
      <c r="H21" s="127" t="s">
        <v>321</v>
      </c>
    </row>
    <row r="22" spans="1:8" ht="43.2" x14ac:dyDescent="0.3">
      <c r="A22" s="15" t="s">
        <v>74</v>
      </c>
      <c r="B22" t="s">
        <v>322</v>
      </c>
      <c r="C22" s="127" t="s">
        <v>323</v>
      </c>
      <c r="D22" s="127" t="s">
        <v>324</v>
      </c>
      <c r="E22" s="24" t="s">
        <v>325</v>
      </c>
      <c r="F22" s="127" t="s">
        <v>326</v>
      </c>
      <c r="G22" s="114" t="s">
        <v>283</v>
      </c>
      <c r="H22" s="127" t="s">
        <v>327</v>
      </c>
    </row>
    <row r="23" spans="1:8" ht="43.2" x14ac:dyDescent="0.3">
      <c r="A23" s="15" t="s">
        <v>328</v>
      </c>
      <c r="B23" t="s">
        <v>322</v>
      </c>
      <c r="C23" s="127" t="s">
        <v>329</v>
      </c>
      <c r="D23" s="127" t="s">
        <v>330</v>
      </c>
      <c r="E23" s="24" t="s">
        <v>281</v>
      </c>
      <c r="F23" s="127" t="s">
        <v>331</v>
      </c>
      <c r="G23" s="112" t="s">
        <v>262</v>
      </c>
      <c r="H23" s="127" t="s">
        <v>332</v>
      </c>
    </row>
    <row r="24" spans="1:8" ht="43.2" x14ac:dyDescent="0.3">
      <c r="A24" s="15" t="s">
        <v>333</v>
      </c>
      <c r="B24" t="s">
        <v>334</v>
      </c>
      <c r="C24" s="127" t="s">
        <v>335</v>
      </c>
      <c r="D24" s="127" t="s">
        <v>336</v>
      </c>
      <c r="E24" s="24" t="s">
        <v>337</v>
      </c>
      <c r="F24" s="127" t="s">
        <v>338</v>
      </c>
      <c r="G24" s="115" t="s">
        <v>339</v>
      </c>
      <c r="H24" s="127" t="s">
        <v>340</v>
      </c>
    </row>
    <row r="25" spans="1:8" ht="43.2" x14ac:dyDescent="0.3">
      <c r="A25" s="15" t="s">
        <v>341</v>
      </c>
      <c r="B25" t="s">
        <v>334</v>
      </c>
      <c r="C25" s="127" t="s">
        <v>342</v>
      </c>
      <c r="D25" s="127" t="s">
        <v>343</v>
      </c>
      <c r="E25" s="24" t="s">
        <v>262</v>
      </c>
      <c r="F25" s="127" t="s">
        <v>344</v>
      </c>
      <c r="G25" s="112" t="s">
        <v>262</v>
      </c>
      <c r="H25" s="127" t="s">
        <v>345</v>
      </c>
    </row>
    <row r="26" spans="1:8" ht="43.2" x14ac:dyDescent="0.3">
      <c r="A26" s="15" t="s">
        <v>346</v>
      </c>
      <c r="B26" t="s">
        <v>347</v>
      </c>
      <c r="C26" s="127" t="s">
        <v>348</v>
      </c>
      <c r="D26" s="127" t="s">
        <v>349</v>
      </c>
      <c r="E26" s="24" t="s">
        <v>301</v>
      </c>
      <c r="F26" s="127" t="s">
        <v>350</v>
      </c>
      <c r="G26" s="115" t="s">
        <v>274</v>
      </c>
      <c r="H26" s="127" t="s">
        <v>351</v>
      </c>
    </row>
    <row r="28" spans="1:8" ht="15.6" x14ac:dyDescent="0.3">
      <c r="A28" s="88" t="s">
        <v>106</v>
      </c>
    </row>
    <row r="30" spans="1:8" x14ac:dyDescent="0.3">
      <c r="A30" s="91" t="s">
        <v>352</v>
      </c>
      <c r="C30" s="92" t="s">
        <v>353</v>
      </c>
      <c r="D30" s="91" t="s">
        <v>354</v>
      </c>
    </row>
    <row r="31" spans="1:8" x14ac:dyDescent="0.3">
      <c r="A31" s="111" t="s">
        <v>355</v>
      </c>
      <c r="C31" s="16">
        <f>COUNTIF(G10:G26,"YES")</f>
        <v>9</v>
      </c>
      <c r="D31" t="s">
        <v>356</v>
      </c>
    </row>
    <row r="32" spans="1:8" x14ac:dyDescent="0.3">
      <c r="A32" s="83" t="s">
        <v>357</v>
      </c>
      <c r="C32" s="16">
        <f>COUNTIF(G10:G26,"NO")+COUNTIF(G10:G26,"NO~*")</f>
        <v>3</v>
      </c>
      <c r="D32" t="s">
        <v>358</v>
      </c>
    </row>
    <row r="33" spans="1:4" x14ac:dyDescent="0.3">
      <c r="A33" s="113" t="s">
        <v>359</v>
      </c>
      <c r="C33" s="16">
        <f>COUNTIF(G10:G26,"PARTIAL")+COUNTIF(G10:G26,"TRENDING")</f>
        <v>3</v>
      </c>
      <c r="D33" t="s">
        <v>360</v>
      </c>
    </row>
    <row r="35" spans="1:4" ht="15.6" x14ac:dyDescent="0.3">
      <c r="A35" s="88" t="s">
        <v>361</v>
      </c>
    </row>
    <row r="37" spans="1:4" ht="18" x14ac:dyDescent="0.35">
      <c r="A37" s="15" t="s">
        <v>362</v>
      </c>
      <c r="C37" s="123">
        <f>C31</f>
        <v>9</v>
      </c>
      <c r="D37" s="15" t="s">
        <v>363</v>
      </c>
    </row>
    <row r="38" spans="1:4" ht="18" x14ac:dyDescent="0.35">
      <c r="A38" s="15" t="s">
        <v>364</v>
      </c>
      <c r="C38" s="125">
        <f>C32+C33</f>
        <v>6</v>
      </c>
      <c r="D38" s="15" t="s">
        <v>363</v>
      </c>
    </row>
    <row r="39" spans="1:4" ht="18" x14ac:dyDescent="0.35">
      <c r="A39" s="15" t="s">
        <v>365</v>
      </c>
      <c r="C39" s="126">
        <f>COUNTIF(E10:E26,"N/A")+COUNTIF(E10:E26,"WRONG FRAME")</f>
        <v>4</v>
      </c>
      <c r="D39" s="15" t="s">
        <v>366</v>
      </c>
    </row>
    <row r="41" spans="1:4" ht="15.6" x14ac:dyDescent="0.3">
      <c r="A41" s="88" t="s">
        <v>367</v>
      </c>
    </row>
    <row r="43" spans="1:4" x14ac:dyDescent="0.3">
      <c r="A43" s="15" t="s">
        <v>368</v>
      </c>
    </row>
    <row r="44" spans="1:4" x14ac:dyDescent="0.3">
      <c r="A44" s="117" t="s">
        <v>369</v>
      </c>
    </row>
    <row r="46" spans="1:4" x14ac:dyDescent="0.3">
      <c r="A46" s="15" t="s">
        <v>370</v>
      </c>
    </row>
    <row r="47" spans="1:4" x14ac:dyDescent="0.3">
      <c r="A47" t="s">
        <v>371</v>
      </c>
    </row>
    <row r="48" spans="1:4" x14ac:dyDescent="0.3">
      <c r="A48" t="s">
        <v>372</v>
      </c>
    </row>
    <row r="49" spans="1:4" x14ac:dyDescent="0.3">
      <c r="A49" t="s">
        <v>373</v>
      </c>
    </row>
    <row r="51" spans="1:4" x14ac:dyDescent="0.3">
      <c r="A51" s="111" t="s">
        <v>374</v>
      </c>
    </row>
    <row r="52" spans="1:4" x14ac:dyDescent="0.3">
      <c r="A52" s="81" t="s">
        <v>375</v>
      </c>
    </row>
    <row r="53" spans="1:4" x14ac:dyDescent="0.3">
      <c r="A53" s="100" t="s">
        <v>376</v>
      </c>
    </row>
    <row r="55" spans="1:4" ht="18" x14ac:dyDescent="0.35">
      <c r="A55" s="74" t="s">
        <v>377</v>
      </c>
    </row>
    <row r="56" spans="1:4" x14ac:dyDescent="0.3">
      <c r="A56" s="75" t="s">
        <v>378</v>
      </c>
    </row>
    <row r="58" spans="1:4" ht="15.6" x14ac:dyDescent="0.3">
      <c r="A58" s="88" t="s">
        <v>379</v>
      </c>
    </row>
    <row r="59" spans="1:4" ht="21" x14ac:dyDescent="0.4">
      <c r="A59" s="129" t="s">
        <v>380</v>
      </c>
    </row>
    <row r="61" spans="1:4" x14ac:dyDescent="0.3">
      <c r="A61" s="76" t="s">
        <v>381</v>
      </c>
      <c r="C61" s="80" t="s">
        <v>382</v>
      </c>
      <c r="D61" s="76" t="s">
        <v>383</v>
      </c>
    </row>
    <row r="62" spans="1:4" ht="57.6" x14ac:dyDescent="0.3">
      <c r="A62" t="s">
        <v>384</v>
      </c>
      <c r="C62" s="139" t="s">
        <v>385</v>
      </c>
      <c r="D62" s="127" t="s">
        <v>386</v>
      </c>
    </row>
    <row r="63" spans="1:4" ht="57.6" x14ac:dyDescent="0.3">
      <c r="A63" t="s">
        <v>387</v>
      </c>
      <c r="C63" s="139" t="s">
        <v>388</v>
      </c>
      <c r="D63" s="127" t="s">
        <v>389</v>
      </c>
    </row>
    <row r="64" spans="1:4" ht="57.6" x14ac:dyDescent="0.3">
      <c r="A64" t="s">
        <v>390</v>
      </c>
      <c r="C64" s="139" t="s">
        <v>391</v>
      </c>
      <c r="D64" s="127" t="s">
        <v>392</v>
      </c>
    </row>
    <row r="65" spans="1:7" ht="43.2" x14ac:dyDescent="0.3">
      <c r="A65" t="s">
        <v>393</v>
      </c>
      <c r="C65" s="139" t="s">
        <v>394</v>
      </c>
      <c r="D65" s="127" t="s">
        <v>395</v>
      </c>
    </row>
    <row r="67" spans="1:7" ht="15.6" x14ac:dyDescent="0.3">
      <c r="A67" s="88" t="s">
        <v>396</v>
      </c>
    </row>
    <row r="69" spans="1:7" x14ac:dyDescent="0.3">
      <c r="A69" s="76" t="s">
        <v>397</v>
      </c>
      <c r="C69" s="80" t="s">
        <v>398</v>
      </c>
      <c r="E69" s="80" t="s">
        <v>399</v>
      </c>
      <c r="G69" s="80" t="s">
        <v>400</v>
      </c>
    </row>
    <row r="70" spans="1:7" x14ac:dyDescent="0.3">
      <c r="A70" t="s">
        <v>401</v>
      </c>
      <c r="C70" s="24" t="s">
        <v>402</v>
      </c>
      <c r="E70" s="112" t="s">
        <v>27</v>
      </c>
      <c r="G70" s="24" t="s">
        <v>403</v>
      </c>
    </row>
    <row r="71" spans="1:7" x14ac:dyDescent="0.3">
      <c r="A71" t="s">
        <v>404</v>
      </c>
      <c r="C71" s="24" t="s">
        <v>405</v>
      </c>
      <c r="E71" s="130" t="s">
        <v>406</v>
      </c>
      <c r="G71" s="24" t="s">
        <v>407</v>
      </c>
    </row>
    <row r="72" spans="1:7" x14ac:dyDescent="0.3">
      <c r="A72" t="s">
        <v>408</v>
      </c>
      <c r="C72" s="24" t="s">
        <v>409</v>
      </c>
      <c r="E72" s="130" t="s">
        <v>410</v>
      </c>
      <c r="G72" s="24" t="s">
        <v>411</v>
      </c>
    </row>
    <row r="73" spans="1:7" x14ac:dyDescent="0.3">
      <c r="A73" t="s">
        <v>412</v>
      </c>
      <c r="C73" s="24" t="s">
        <v>413</v>
      </c>
      <c r="E73" s="115" t="s">
        <v>414</v>
      </c>
      <c r="G73" s="24" t="s">
        <v>415</v>
      </c>
    </row>
    <row r="74" spans="1:7" x14ac:dyDescent="0.3">
      <c r="A74" t="s">
        <v>416</v>
      </c>
      <c r="C74" s="24" t="s">
        <v>417</v>
      </c>
      <c r="E74" s="131" t="s">
        <v>418</v>
      </c>
      <c r="G74" s="24" t="s">
        <v>419</v>
      </c>
    </row>
    <row r="76" spans="1:7" ht="15.6" x14ac:dyDescent="0.3">
      <c r="A76" s="88" t="s">
        <v>420</v>
      </c>
    </row>
    <row r="78" spans="1:7" x14ac:dyDescent="0.3">
      <c r="A78" s="15" t="s">
        <v>421</v>
      </c>
    </row>
    <row r="79" spans="1:7" x14ac:dyDescent="0.3">
      <c r="A79" s="15" t="s">
        <v>422</v>
      </c>
    </row>
    <row r="80" spans="1:7" x14ac:dyDescent="0.3">
      <c r="A80" s="100" t="s">
        <v>423</v>
      </c>
    </row>
    <row r="82" spans="1:6" x14ac:dyDescent="0.3">
      <c r="A82" s="90" t="s">
        <v>424</v>
      </c>
    </row>
    <row r="83" spans="1:6" x14ac:dyDescent="0.3">
      <c r="A83" t="s">
        <v>425</v>
      </c>
    </row>
    <row r="84" spans="1:6" x14ac:dyDescent="0.3">
      <c r="A84" t="s">
        <v>426</v>
      </c>
    </row>
    <row r="85" spans="1:6" x14ac:dyDescent="0.3">
      <c r="A85" s="89" t="s">
        <v>427</v>
      </c>
    </row>
    <row r="87" spans="1:6" ht="15.6" x14ac:dyDescent="0.3">
      <c r="A87" s="88" t="s">
        <v>428</v>
      </c>
    </row>
    <row r="88" spans="1:6" x14ac:dyDescent="0.3">
      <c r="A88" s="75" t="s">
        <v>429</v>
      </c>
    </row>
    <row r="90" spans="1:6" x14ac:dyDescent="0.3">
      <c r="A90" s="76" t="s">
        <v>430</v>
      </c>
      <c r="C90" s="76" t="s">
        <v>431</v>
      </c>
      <c r="F90" s="80" t="s">
        <v>432</v>
      </c>
    </row>
    <row r="91" spans="1:6" ht="28.8" x14ac:dyDescent="0.3">
      <c r="A91" t="s">
        <v>433</v>
      </c>
      <c r="C91" s="127" t="s">
        <v>434</v>
      </c>
      <c r="F91" s="24" t="s">
        <v>435</v>
      </c>
    </row>
    <row r="92" spans="1:6" x14ac:dyDescent="0.3">
      <c r="A92" t="s">
        <v>436</v>
      </c>
      <c r="C92" s="127" t="s">
        <v>437</v>
      </c>
      <c r="F92" s="24" t="s">
        <v>438</v>
      </c>
    </row>
    <row r="93" spans="1:6" ht="28.8" x14ac:dyDescent="0.3">
      <c r="A93" t="s">
        <v>439</v>
      </c>
      <c r="C93" s="127" t="s">
        <v>440</v>
      </c>
      <c r="F93" s="24" t="s">
        <v>441</v>
      </c>
    </row>
    <row r="94" spans="1:6" ht="28.8" x14ac:dyDescent="0.3">
      <c r="A94" t="s">
        <v>442</v>
      </c>
      <c r="C94" s="127" t="s">
        <v>443</v>
      </c>
      <c r="F94" s="115" t="s">
        <v>444</v>
      </c>
    </row>
    <row r="95" spans="1:6" ht="28.8" x14ac:dyDescent="0.3">
      <c r="A95" t="s">
        <v>445</v>
      </c>
      <c r="C95" s="127" t="s">
        <v>446</v>
      </c>
      <c r="F95" s="112" t="s">
        <v>447</v>
      </c>
    </row>
    <row r="97" spans="1:1" x14ac:dyDescent="0.3">
      <c r="A97" s="15" t="s">
        <v>448</v>
      </c>
    </row>
    <row r="98" spans="1:1" x14ac:dyDescent="0.3">
      <c r="A98" t="s">
        <v>449</v>
      </c>
    </row>
    <row r="99" spans="1:1" x14ac:dyDescent="0.3">
      <c r="A99" t="s">
        <v>450</v>
      </c>
    </row>
    <row r="100" spans="1:1" x14ac:dyDescent="0.3">
      <c r="A100" s="132" t="s">
        <v>451</v>
      </c>
    </row>
    <row r="102" spans="1:1" x14ac:dyDescent="0.3">
      <c r="A102" s="15" t="s">
        <v>452</v>
      </c>
    </row>
    <row r="103" spans="1:1" x14ac:dyDescent="0.3">
      <c r="A103" t="s">
        <v>453</v>
      </c>
    </row>
    <row r="105" spans="1:1" ht="15.6" x14ac:dyDescent="0.3">
      <c r="A105" s="88" t="s">
        <v>454</v>
      </c>
    </row>
    <row r="107" spans="1:1" x14ac:dyDescent="0.3">
      <c r="A107" s="133" t="s">
        <v>455</v>
      </c>
    </row>
    <row r="108" spans="1:1" x14ac:dyDescent="0.3">
      <c r="A108" s="133" t="s">
        <v>456</v>
      </c>
    </row>
    <row r="109" spans="1:1" x14ac:dyDescent="0.3">
      <c r="A109" s="133" t="s">
        <v>457</v>
      </c>
    </row>
    <row r="110" spans="1:1" x14ac:dyDescent="0.3">
      <c r="A110" s="134" t="s">
        <v>458</v>
      </c>
    </row>
    <row r="112" spans="1:1" x14ac:dyDescent="0.3">
      <c r="A112" s="135" t="s">
        <v>459</v>
      </c>
    </row>
  </sheetData>
  <conditionalFormatting sqref="E10:E26">
    <cfRule type="containsText" dxfId="14" priority="5" operator="containsText" text="YES">
      <formula>NOT(ISERROR(SEARCH("YES",E10)))</formula>
    </cfRule>
    <cfRule type="containsText" dxfId="13" priority="6" operator="containsText" text="NO">
      <formula>NOT(ISERROR(SEARCH("NO",E10)))</formula>
    </cfRule>
    <cfRule type="containsText" dxfId="12" priority="7" operator="containsText" text="MISAPPLIED">
      <formula>NOT(ISERROR(SEARCH("MISAPPLIED",E10)))</formula>
    </cfRule>
    <cfRule type="containsText" dxfId="11" priority="8" operator="containsText" text="INVERTED">
      <formula>NOT(ISERROR(SEARCH("INVERTED",E10)))</formula>
    </cfRule>
    <cfRule type="containsText" dxfId="10" priority="9" operator="containsText" text="WRONG FRAME">
      <formula>NOT(ISERROR(SEARCH("WRONG FRAME",E10)))</formula>
    </cfRule>
    <cfRule type="containsText" dxfId="9" priority="10" operator="containsText" text="UNRESOLVABLE">
      <formula>NOT(ISERROR(SEARCH("UNRESOLVABLE",E10)))</formula>
    </cfRule>
  </conditionalFormatting>
  <conditionalFormatting sqref="G10:G26">
    <cfRule type="containsText" dxfId="8" priority="1" operator="containsText" text="YES">
      <formula>NOT(ISERROR(SEARCH("YES",G10)))</formula>
    </cfRule>
    <cfRule type="containsText" dxfId="7" priority="2" operator="containsText" text="NO">
      <formula>NOT(ISERROR(SEARCH("NO",G10)))</formula>
    </cfRule>
    <cfRule type="containsText" dxfId="6" priority="3" operator="containsText" text="PARTIAL">
      <formula>NOT(ISERROR(SEARCH("PARTIAL",G10)))</formula>
    </cfRule>
    <cfRule type="containsText" dxfId="5" priority="4" operator="containsText" text="TRENDING">
      <formula>NOT(ISERROR(SEARCH("TRENDING",G10)))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6CB2-BE0F-48EE-AAA5-3049CF073B89}">
  <sheetPr>
    <tabColor rgb="FF1F4E79"/>
  </sheetPr>
  <dimension ref="A1:D82"/>
  <sheetViews>
    <sheetView workbookViewId="0"/>
  </sheetViews>
  <sheetFormatPr defaultRowHeight="14.4" x14ac:dyDescent="0.3"/>
  <cols>
    <col min="1" max="1" width="33.33203125" customWidth="1"/>
    <col min="2" max="2" width="22.21875" customWidth="1"/>
    <col min="3" max="4" width="37" customWidth="1"/>
  </cols>
  <sheetData>
    <row r="1" spans="1:3" ht="18" x14ac:dyDescent="0.35">
      <c r="A1" s="74" t="s">
        <v>460</v>
      </c>
    </row>
    <row r="2" spans="1:3" x14ac:dyDescent="0.3">
      <c r="A2" s="75" t="s">
        <v>461</v>
      </c>
    </row>
    <row r="4" spans="1:3" ht="15.6" x14ac:dyDescent="0.3">
      <c r="A4" s="88" t="s">
        <v>462</v>
      </c>
    </row>
    <row r="5" spans="1:3" ht="18" x14ac:dyDescent="0.35">
      <c r="A5" s="136" t="s">
        <v>463</v>
      </c>
    </row>
    <row r="7" spans="1:3" x14ac:dyDescent="0.3">
      <c r="A7" s="15" t="s">
        <v>464</v>
      </c>
    </row>
    <row r="8" spans="1:3" x14ac:dyDescent="0.3">
      <c r="A8" t="s">
        <v>465</v>
      </c>
    </row>
    <row r="9" spans="1:3" x14ac:dyDescent="0.3">
      <c r="A9" t="s">
        <v>466</v>
      </c>
    </row>
    <row r="10" spans="1:3" x14ac:dyDescent="0.3">
      <c r="A10" s="15" t="s">
        <v>467</v>
      </c>
    </row>
    <row r="12" spans="1:3" x14ac:dyDescent="0.3">
      <c r="A12" s="76" t="s">
        <v>381</v>
      </c>
      <c r="B12" s="80" t="s">
        <v>382</v>
      </c>
      <c r="C12" s="76" t="s">
        <v>383</v>
      </c>
    </row>
    <row r="13" spans="1:3" x14ac:dyDescent="0.3">
      <c r="A13" t="s">
        <v>468</v>
      </c>
      <c r="B13" s="137" t="s">
        <v>469</v>
      </c>
      <c r="C13" s="127" t="s">
        <v>470</v>
      </c>
    </row>
    <row r="14" spans="1:3" x14ac:dyDescent="0.3">
      <c r="A14" t="s">
        <v>471</v>
      </c>
      <c r="B14" s="137" t="s">
        <v>472</v>
      </c>
      <c r="C14" s="127" t="s">
        <v>473</v>
      </c>
    </row>
    <row r="15" spans="1:3" ht="28.8" x14ac:dyDescent="0.3">
      <c r="A15" t="s">
        <v>474</v>
      </c>
      <c r="B15" s="137" t="s">
        <v>475</v>
      </c>
      <c r="C15" s="127" t="s">
        <v>476</v>
      </c>
    </row>
    <row r="16" spans="1:3" ht="28.8" x14ac:dyDescent="0.3">
      <c r="A16" t="s">
        <v>477</v>
      </c>
      <c r="B16" s="137" t="s">
        <v>478</v>
      </c>
      <c r="C16" s="127" t="s">
        <v>479</v>
      </c>
    </row>
    <row r="18" spans="1:4" ht="15.6" x14ac:dyDescent="0.3">
      <c r="A18" s="88" t="s">
        <v>480</v>
      </c>
    </row>
    <row r="19" spans="1:4" ht="18" x14ac:dyDescent="0.35">
      <c r="A19" s="136" t="s">
        <v>481</v>
      </c>
    </row>
    <row r="21" spans="1:4" x14ac:dyDescent="0.3">
      <c r="A21" s="15" t="s">
        <v>464</v>
      </c>
    </row>
    <row r="22" spans="1:4" x14ac:dyDescent="0.3">
      <c r="A22" t="s">
        <v>482</v>
      </c>
    </row>
    <row r="23" spans="1:4" x14ac:dyDescent="0.3">
      <c r="A23" t="s">
        <v>483</v>
      </c>
    </row>
    <row r="24" spans="1:4" x14ac:dyDescent="0.3">
      <c r="A24" s="15" t="s">
        <v>484</v>
      </c>
    </row>
    <row r="26" spans="1:4" x14ac:dyDescent="0.3">
      <c r="A26" s="76" t="s">
        <v>381</v>
      </c>
      <c r="B26" s="80" t="s">
        <v>382</v>
      </c>
      <c r="C26" s="76" t="s">
        <v>383</v>
      </c>
      <c r="D26" s="76" t="s">
        <v>485</v>
      </c>
    </row>
    <row r="27" spans="1:4" x14ac:dyDescent="0.3">
      <c r="A27" t="s">
        <v>486</v>
      </c>
      <c r="B27" s="137" t="s">
        <v>487</v>
      </c>
      <c r="C27" s="127" t="s">
        <v>488</v>
      </c>
      <c r="D27" s="127" t="s">
        <v>489</v>
      </c>
    </row>
    <row r="28" spans="1:4" x14ac:dyDescent="0.3">
      <c r="A28" t="s">
        <v>490</v>
      </c>
      <c r="B28" s="137" t="s">
        <v>491</v>
      </c>
      <c r="C28" s="127" t="s">
        <v>492</v>
      </c>
      <c r="D28" s="127" t="s">
        <v>489</v>
      </c>
    </row>
    <row r="29" spans="1:4" ht="28.8" x14ac:dyDescent="0.3">
      <c r="A29" t="s">
        <v>493</v>
      </c>
      <c r="B29" s="137" t="s">
        <v>494</v>
      </c>
      <c r="C29" s="127" t="s">
        <v>495</v>
      </c>
      <c r="D29" s="127" t="s">
        <v>496</v>
      </c>
    </row>
    <row r="30" spans="1:4" ht="28.8" x14ac:dyDescent="0.3">
      <c r="A30" t="s">
        <v>497</v>
      </c>
      <c r="B30" s="137" t="s">
        <v>498</v>
      </c>
      <c r="C30" s="127" t="s">
        <v>499</v>
      </c>
      <c r="D30" s="127" t="s">
        <v>500</v>
      </c>
    </row>
    <row r="31" spans="1:4" ht="28.8" x14ac:dyDescent="0.3">
      <c r="A31" t="s">
        <v>501</v>
      </c>
      <c r="B31" s="137" t="s">
        <v>502</v>
      </c>
      <c r="C31" s="127" t="s">
        <v>503</v>
      </c>
      <c r="D31" s="127" t="s">
        <v>504</v>
      </c>
    </row>
    <row r="32" spans="1:4" ht="28.8" x14ac:dyDescent="0.3">
      <c r="A32" t="s">
        <v>505</v>
      </c>
      <c r="B32" s="137" t="s">
        <v>506</v>
      </c>
      <c r="C32" s="127" t="s">
        <v>507</v>
      </c>
      <c r="D32" s="127" t="s">
        <v>508</v>
      </c>
    </row>
    <row r="33" spans="1:4" x14ac:dyDescent="0.3">
      <c r="A33" t="s">
        <v>509</v>
      </c>
      <c r="B33" s="137" t="s">
        <v>510</v>
      </c>
      <c r="C33" s="127" t="s">
        <v>511</v>
      </c>
      <c r="D33" s="127" t="s">
        <v>512</v>
      </c>
    </row>
    <row r="34" spans="1:4" ht="28.8" x14ac:dyDescent="0.3">
      <c r="A34" t="s">
        <v>513</v>
      </c>
      <c r="B34" s="137" t="s">
        <v>514</v>
      </c>
      <c r="C34" s="127" t="s">
        <v>515</v>
      </c>
      <c r="D34" s="127" t="s">
        <v>516</v>
      </c>
    </row>
    <row r="36" spans="1:4" ht="15.6" x14ac:dyDescent="0.3">
      <c r="A36" s="88" t="s">
        <v>517</v>
      </c>
    </row>
    <row r="37" spans="1:4" ht="18" x14ac:dyDescent="0.35">
      <c r="A37" s="136" t="s">
        <v>518</v>
      </c>
    </row>
    <row r="39" spans="1:4" x14ac:dyDescent="0.3">
      <c r="A39" s="15" t="s">
        <v>464</v>
      </c>
    </row>
    <row r="40" spans="1:4" x14ac:dyDescent="0.3">
      <c r="A40" t="s">
        <v>519</v>
      </c>
    </row>
    <row r="41" spans="1:4" x14ac:dyDescent="0.3">
      <c r="A41" s="89" t="s">
        <v>520</v>
      </c>
    </row>
    <row r="43" spans="1:4" x14ac:dyDescent="0.3">
      <c r="A43" s="15" t="s">
        <v>521</v>
      </c>
    </row>
    <row r="44" spans="1:4" ht="15.6" x14ac:dyDescent="0.3">
      <c r="A44" s="138" t="s">
        <v>522</v>
      </c>
    </row>
    <row r="45" spans="1:4" x14ac:dyDescent="0.3">
      <c r="A45" t="s">
        <v>523</v>
      </c>
    </row>
    <row r="46" spans="1:4" x14ac:dyDescent="0.3">
      <c r="A46" s="15" t="s">
        <v>524</v>
      </c>
    </row>
    <row r="48" spans="1:4" ht="15.6" x14ac:dyDescent="0.3">
      <c r="A48" s="88" t="s">
        <v>525</v>
      </c>
    </row>
    <row r="49" spans="1:1" ht="18" x14ac:dyDescent="0.35">
      <c r="A49" s="136" t="s">
        <v>380</v>
      </c>
    </row>
    <row r="51" spans="1:1" x14ac:dyDescent="0.3">
      <c r="A51" t="s">
        <v>526</v>
      </c>
    </row>
    <row r="52" spans="1:1" x14ac:dyDescent="0.3">
      <c r="A52" t="s">
        <v>527</v>
      </c>
    </row>
    <row r="53" spans="1:1" x14ac:dyDescent="0.3">
      <c r="A53" t="s">
        <v>528</v>
      </c>
    </row>
    <row r="54" spans="1:1" x14ac:dyDescent="0.3">
      <c r="A54" t="s">
        <v>529</v>
      </c>
    </row>
    <row r="56" spans="1:1" x14ac:dyDescent="0.3">
      <c r="A56" s="15" t="s">
        <v>530</v>
      </c>
    </row>
    <row r="57" spans="1:1" x14ac:dyDescent="0.3">
      <c r="A57" t="s">
        <v>531</v>
      </c>
    </row>
    <row r="58" spans="1:1" x14ac:dyDescent="0.3">
      <c r="A58" t="s">
        <v>532</v>
      </c>
    </row>
    <row r="59" spans="1:1" x14ac:dyDescent="0.3">
      <c r="A59" t="s">
        <v>533</v>
      </c>
    </row>
    <row r="60" spans="1:1" x14ac:dyDescent="0.3">
      <c r="A60" s="100" t="s">
        <v>534</v>
      </c>
    </row>
    <row r="62" spans="1:1" ht="15.6" x14ac:dyDescent="0.3">
      <c r="A62" s="88" t="s">
        <v>535</v>
      </c>
    </row>
    <row r="63" spans="1:1" x14ac:dyDescent="0.3">
      <c r="A63" s="89" t="s">
        <v>536</v>
      </c>
    </row>
    <row r="65" spans="1:4" x14ac:dyDescent="0.3">
      <c r="A65" s="76" t="s">
        <v>537</v>
      </c>
      <c r="B65" s="80" t="s">
        <v>382</v>
      </c>
      <c r="C65" s="76" t="s">
        <v>538</v>
      </c>
      <c r="D65" s="76" t="s">
        <v>539</v>
      </c>
    </row>
    <row r="66" spans="1:4" ht="29.4" x14ac:dyDescent="0.35">
      <c r="A66" t="s">
        <v>540</v>
      </c>
      <c r="B66" s="136" t="s">
        <v>541</v>
      </c>
      <c r="C66" s="127" t="s">
        <v>542</v>
      </c>
      <c r="D66" s="127" t="s">
        <v>543</v>
      </c>
    </row>
    <row r="67" spans="1:4" ht="29.4" x14ac:dyDescent="0.35">
      <c r="A67" t="s">
        <v>544</v>
      </c>
      <c r="B67" s="136" t="s">
        <v>545</v>
      </c>
      <c r="C67" s="127" t="s">
        <v>546</v>
      </c>
      <c r="D67" s="127" t="s">
        <v>547</v>
      </c>
    </row>
    <row r="68" spans="1:4" ht="28.8" x14ac:dyDescent="0.3">
      <c r="A68" t="s">
        <v>548</v>
      </c>
      <c r="B68" s="137" t="s">
        <v>549</v>
      </c>
      <c r="C68" s="127" t="s">
        <v>550</v>
      </c>
      <c r="D68" s="127" t="s">
        <v>551</v>
      </c>
    </row>
    <row r="69" spans="1:4" ht="29.4" x14ac:dyDescent="0.35">
      <c r="A69" t="s">
        <v>552</v>
      </c>
      <c r="B69" s="136" t="s">
        <v>71</v>
      </c>
      <c r="C69" s="127" t="s">
        <v>553</v>
      </c>
      <c r="D69" s="127" t="s">
        <v>554</v>
      </c>
    </row>
    <row r="70" spans="1:4" ht="29.4" x14ac:dyDescent="0.35">
      <c r="A70" t="s">
        <v>37</v>
      </c>
      <c r="B70" s="136" t="s">
        <v>555</v>
      </c>
      <c r="C70" s="127" t="s">
        <v>556</v>
      </c>
      <c r="D70" s="127" t="s">
        <v>557</v>
      </c>
    </row>
    <row r="71" spans="1:4" ht="29.4" x14ac:dyDescent="0.35">
      <c r="A71" t="s">
        <v>558</v>
      </c>
      <c r="B71" s="136" t="s">
        <v>559</v>
      </c>
      <c r="C71" s="127" t="s">
        <v>560</v>
      </c>
      <c r="D71" s="127" t="s">
        <v>561</v>
      </c>
    </row>
    <row r="73" spans="1:4" x14ac:dyDescent="0.3">
      <c r="A73" s="90" t="s">
        <v>562</v>
      </c>
    </row>
    <row r="74" spans="1:4" x14ac:dyDescent="0.3">
      <c r="A74" s="89" t="s">
        <v>563</v>
      </c>
    </row>
    <row r="76" spans="1:4" ht="15.6" x14ac:dyDescent="0.3">
      <c r="A76" s="88" t="s">
        <v>564</v>
      </c>
    </row>
    <row r="77" spans="1:4" x14ac:dyDescent="0.3">
      <c r="A77" t="s">
        <v>565</v>
      </c>
    </row>
    <row r="78" spans="1:4" x14ac:dyDescent="0.3">
      <c r="A78" t="s">
        <v>566</v>
      </c>
    </row>
    <row r="79" spans="1:4" x14ac:dyDescent="0.3">
      <c r="A79" s="132" t="s">
        <v>567</v>
      </c>
    </row>
    <row r="81" spans="1:1" x14ac:dyDescent="0.3">
      <c r="A81" s="75" t="s">
        <v>568</v>
      </c>
    </row>
    <row r="82" spans="1:1" x14ac:dyDescent="0.3">
      <c r="A82" s="75" t="s">
        <v>569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509B-615C-421E-9B73-6B8EAD1788D4}">
  <sheetPr>
    <tabColor rgb="FFC00000"/>
  </sheetPr>
  <dimension ref="A1:E130"/>
  <sheetViews>
    <sheetView workbookViewId="0"/>
  </sheetViews>
  <sheetFormatPr defaultRowHeight="14.4" x14ac:dyDescent="0.3"/>
  <cols>
    <col min="1" max="1" width="40.77734375" customWidth="1"/>
    <col min="2" max="2" width="48.109375" customWidth="1"/>
    <col min="3" max="4" width="33.33203125" customWidth="1"/>
    <col min="5" max="5" width="29.6640625" customWidth="1"/>
  </cols>
  <sheetData>
    <row r="1" spans="1:4" ht="18" x14ac:dyDescent="0.35">
      <c r="A1" s="124" t="s">
        <v>570</v>
      </c>
    </row>
    <row r="2" spans="1:4" x14ac:dyDescent="0.3">
      <c r="A2" s="75" t="s">
        <v>571</v>
      </c>
    </row>
    <row r="4" spans="1:4" ht="15.6" x14ac:dyDescent="0.3">
      <c r="A4" s="140" t="s">
        <v>572</v>
      </c>
    </row>
    <row r="6" spans="1:4" x14ac:dyDescent="0.3">
      <c r="A6" s="15" t="s">
        <v>573</v>
      </c>
    </row>
    <row r="7" spans="1:4" x14ac:dyDescent="0.3">
      <c r="A7" t="s">
        <v>574</v>
      </c>
    </row>
    <row r="8" spans="1:4" x14ac:dyDescent="0.3">
      <c r="A8" t="s">
        <v>575</v>
      </c>
    </row>
    <row r="10" spans="1:4" x14ac:dyDescent="0.3">
      <c r="A10" s="147" t="s">
        <v>576</v>
      </c>
      <c r="B10" s="148" t="s">
        <v>577</v>
      </c>
      <c r="C10" s="149" t="s">
        <v>578</v>
      </c>
      <c r="D10" s="150" t="s">
        <v>579</v>
      </c>
    </row>
    <row r="11" spans="1:4" x14ac:dyDescent="0.3">
      <c r="A11" s="151" t="s">
        <v>580</v>
      </c>
      <c r="B11" s="152" t="s">
        <v>581</v>
      </c>
      <c r="C11" s="153" t="s">
        <v>582</v>
      </c>
      <c r="D11" s="154" t="s">
        <v>583</v>
      </c>
    </row>
    <row r="12" spans="1:4" x14ac:dyDescent="0.3">
      <c r="A12" s="151" t="s">
        <v>584</v>
      </c>
      <c r="B12" s="152" t="s">
        <v>585</v>
      </c>
      <c r="C12" s="153" t="s">
        <v>586</v>
      </c>
      <c r="D12" s="154" t="s">
        <v>587</v>
      </c>
    </row>
    <row r="13" spans="1:4" x14ac:dyDescent="0.3">
      <c r="A13" s="155" t="s">
        <v>588</v>
      </c>
      <c r="B13" s="156" t="s">
        <v>589</v>
      </c>
      <c r="C13" s="157" t="s">
        <v>590</v>
      </c>
      <c r="D13" s="158" t="s">
        <v>591</v>
      </c>
    </row>
    <row r="15" spans="1:4" x14ac:dyDescent="0.3">
      <c r="A15" s="15" t="s">
        <v>592</v>
      </c>
    </row>
    <row r="17" spans="1:1" x14ac:dyDescent="0.3">
      <c r="A17" s="15" t="s">
        <v>593</v>
      </c>
    </row>
    <row r="18" spans="1:1" x14ac:dyDescent="0.3">
      <c r="A18" s="133" t="s">
        <v>594</v>
      </c>
    </row>
    <row r="20" spans="1:1" x14ac:dyDescent="0.3">
      <c r="A20" s="15" t="s">
        <v>595</v>
      </c>
    </row>
    <row r="21" spans="1:1" ht="15.6" x14ac:dyDescent="0.3">
      <c r="A21" s="138" t="s">
        <v>596</v>
      </c>
    </row>
    <row r="23" spans="1:1" x14ac:dyDescent="0.3">
      <c r="A23" s="15" t="s">
        <v>597</v>
      </c>
    </row>
    <row r="24" spans="1:1" ht="18" x14ac:dyDescent="0.35">
      <c r="A24" s="141" t="s">
        <v>598</v>
      </c>
    </row>
    <row r="26" spans="1:1" x14ac:dyDescent="0.3">
      <c r="A26" s="15" t="s">
        <v>599</v>
      </c>
    </row>
    <row r="27" spans="1:1" ht="18" x14ac:dyDescent="0.35">
      <c r="A27" s="141" t="s">
        <v>600</v>
      </c>
    </row>
    <row r="29" spans="1:1" x14ac:dyDescent="0.3">
      <c r="A29" s="15" t="s">
        <v>601</v>
      </c>
    </row>
    <row r="30" spans="1:1" x14ac:dyDescent="0.3">
      <c r="A30" t="s">
        <v>602</v>
      </c>
    </row>
    <row r="32" spans="1:1" x14ac:dyDescent="0.3">
      <c r="A32" s="15" t="s">
        <v>603</v>
      </c>
    </row>
    <row r="33" spans="1:3" x14ac:dyDescent="0.3">
      <c r="A33" t="s">
        <v>604</v>
      </c>
    </row>
    <row r="34" spans="1:3" x14ac:dyDescent="0.3">
      <c r="A34" t="s">
        <v>605</v>
      </c>
    </row>
    <row r="35" spans="1:3" ht="15.6" x14ac:dyDescent="0.3">
      <c r="A35" s="140" t="s">
        <v>606</v>
      </c>
    </row>
    <row r="37" spans="1:3" ht="15.6" x14ac:dyDescent="0.3">
      <c r="A37" s="140" t="s">
        <v>607</v>
      </c>
    </row>
    <row r="38" spans="1:3" x14ac:dyDescent="0.3">
      <c r="A38" s="75" t="s">
        <v>608</v>
      </c>
    </row>
    <row r="40" spans="1:3" ht="18" x14ac:dyDescent="0.35">
      <c r="A40" s="15" t="s">
        <v>609</v>
      </c>
      <c r="B40" s="142">
        <v>0.7</v>
      </c>
    </row>
    <row r="41" spans="1:3" ht="18" x14ac:dyDescent="0.35">
      <c r="A41" s="15" t="s">
        <v>610</v>
      </c>
      <c r="B41" s="143">
        <f>1-B40</f>
        <v>0.30000000000000004</v>
      </c>
    </row>
    <row r="42" spans="1:3" ht="18" x14ac:dyDescent="0.35">
      <c r="A42" s="15" t="s">
        <v>611</v>
      </c>
      <c r="B42" s="143">
        <f>B40+B41</f>
        <v>1</v>
      </c>
      <c r="C42" s="75" t="s">
        <v>612</v>
      </c>
    </row>
    <row r="44" spans="1:3" x14ac:dyDescent="0.3">
      <c r="A44" s="15" t="s">
        <v>613</v>
      </c>
      <c r="B44" s="146" t="str">
        <f>IF(B40=1,"YES","NO — victim not fully compensated")</f>
        <v>NO — victim not fully compensated</v>
      </c>
    </row>
    <row r="45" spans="1:3" x14ac:dyDescent="0.3">
      <c r="A45" s="15" t="s">
        <v>614</v>
      </c>
      <c r="B45" s="146" t="str">
        <f>IF(B41=1,"YES","NO — offender forced to pay")</f>
        <v>NO — offender forced to pay</v>
      </c>
    </row>
    <row r="46" spans="1:3" ht="15.6" x14ac:dyDescent="0.3">
      <c r="A46" s="15" t="s">
        <v>615</v>
      </c>
      <c r="B46" s="179" t="str">
        <f>IF(AND(B40=1,B41=1),"YES","IMPOSSIBLE in closed system")</f>
        <v>IMPOSSIBLE in closed system</v>
      </c>
    </row>
    <row r="48" spans="1:3" ht="15.6" x14ac:dyDescent="0.3">
      <c r="A48" s="140" t="s">
        <v>616</v>
      </c>
    </row>
    <row r="49" spans="1:5" x14ac:dyDescent="0.3">
      <c r="A49" s="144" t="s">
        <v>617</v>
      </c>
    </row>
    <row r="51" spans="1:5" x14ac:dyDescent="0.3">
      <c r="A51" s="147" t="s">
        <v>618</v>
      </c>
      <c r="B51" s="159" t="s">
        <v>69</v>
      </c>
      <c r="C51" s="159" t="s">
        <v>70</v>
      </c>
      <c r="D51" s="159" t="s">
        <v>71</v>
      </c>
      <c r="E51" s="160" t="s">
        <v>619</v>
      </c>
    </row>
    <row r="52" spans="1:5" ht="28.8" x14ac:dyDescent="0.3">
      <c r="A52" s="151" t="s">
        <v>620</v>
      </c>
      <c r="B52" s="161">
        <v>1</v>
      </c>
      <c r="C52" s="161">
        <v>0</v>
      </c>
      <c r="D52" s="162" t="s">
        <v>621</v>
      </c>
      <c r="E52" s="154" t="s">
        <v>622</v>
      </c>
    </row>
    <row r="53" spans="1:5" ht="28.8" x14ac:dyDescent="0.3">
      <c r="A53" s="151" t="s">
        <v>623</v>
      </c>
      <c r="B53" s="161">
        <v>0</v>
      </c>
      <c r="C53" s="161">
        <v>1</v>
      </c>
      <c r="D53" s="162" t="s">
        <v>624</v>
      </c>
      <c r="E53" s="154" t="s">
        <v>625</v>
      </c>
    </row>
    <row r="54" spans="1:5" ht="28.8" x14ac:dyDescent="0.3">
      <c r="A54" s="151" t="s">
        <v>626</v>
      </c>
      <c r="B54" s="163">
        <v>0.5</v>
      </c>
      <c r="C54" s="163">
        <v>0.5</v>
      </c>
      <c r="D54" s="161">
        <v>0</v>
      </c>
      <c r="E54" s="154" t="s">
        <v>627</v>
      </c>
    </row>
    <row r="55" spans="1:5" ht="43.2" x14ac:dyDescent="0.3">
      <c r="A55" s="155" t="s">
        <v>628</v>
      </c>
      <c r="B55" s="164">
        <v>1</v>
      </c>
      <c r="C55" s="164">
        <v>1</v>
      </c>
      <c r="D55" s="164">
        <v>1</v>
      </c>
      <c r="E55" s="165" t="s">
        <v>629</v>
      </c>
    </row>
    <row r="57" spans="1:5" x14ac:dyDescent="0.3">
      <c r="A57" s="90" t="s">
        <v>630</v>
      </c>
    </row>
    <row r="58" spans="1:5" x14ac:dyDescent="0.3">
      <c r="A58" s="89" t="s">
        <v>631</v>
      </c>
    </row>
    <row r="60" spans="1:5" ht="15.6" x14ac:dyDescent="0.3">
      <c r="A60" s="140" t="s">
        <v>632</v>
      </c>
    </row>
    <row r="61" spans="1:5" x14ac:dyDescent="0.3">
      <c r="A61" s="75" t="s">
        <v>633</v>
      </c>
    </row>
    <row r="63" spans="1:5" x14ac:dyDescent="0.3">
      <c r="A63" s="147" t="s">
        <v>634</v>
      </c>
      <c r="B63" s="159" t="s">
        <v>635</v>
      </c>
      <c r="C63" s="166" t="s">
        <v>636</v>
      </c>
      <c r="D63" s="150" t="s">
        <v>637</v>
      </c>
    </row>
    <row r="64" spans="1:5" ht="28.8" x14ac:dyDescent="0.3">
      <c r="A64" s="151" t="s">
        <v>638</v>
      </c>
      <c r="B64" s="161">
        <v>1983</v>
      </c>
      <c r="C64" s="167" t="s">
        <v>639</v>
      </c>
      <c r="D64" s="154" t="s">
        <v>640</v>
      </c>
    </row>
    <row r="65" spans="1:4" ht="28.8" x14ac:dyDescent="0.3">
      <c r="A65" s="151" t="s">
        <v>641</v>
      </c>
      <c r="B65" s="161">
        <v>1979</v>
      </c>
      <c r="C65" s="167" t="s">
        <v>642</v>
      </c>
      <c r="D65" s="154" t="s">
        <v>643</v>
      </c>
    </row>
    <row r="66" spans="1:4" ht="28.8" x14ac:dyDescent="0.3">
      <c r="A66" s="151" t="s">
        <v>644</v>
      </c>
      <c r="B66" s="161">
        <v>1970</v>
      </c>
      <c r="C66" s="167" t="s">
        <v>645</v>
      </c>
      <c r="D66" s="154" t="s">
        <v>646</v>
      </c>
    </row>
    <row r="67" spans="1:4" ht="28.8" x14ac:dyDescent="0.3">
      <c r="A67" s="155" t="s">
        <v>647</v>
      </c>
      <c r="B67" s="164">
        <v>1951</v>
      </c>
      <c r="C67" s="168" t="s">
        <v>648</v>
      </c>
      <c r="D67" s="158" t="s">
        <v>649</v>
      </c>
    </row>
    <row r="69" spans="1:4" x14ac:dyDescent="0.3">
      <c r="A69" s="90" t="s">
        <v>650</v>
      </c>
    </row>
    <row r="70" spans="1:4" x14ac:dyDescent="0.3">
      <c r="A70" t="s">
        <v>651</v>
      </c>
    </row>
    <row r="72" spans="1:4" ht="15.6" x14ac:dyDescent="0.3">
      <c r="A72" s="140" t="s">
        <v>652</v>
      </c>
    </row>
    <row r="73" spans="1:4" x14ac:dyDescent="0.3">
      <c r="A73" s="15" t="s">
        <v>653</v>
      </c>
    </row>
    <row r="75" spans="1:4" x14ac:dyDescent="0.3">
      <c r="A75" s="15" t="s">
        <v>654</v>
      </c>
    </row>
    <row r="76" spans="1:4" x14ac:dyDescent="0.3">
      <c r="A76" t="s">
        <v>655</v>
      </c>
    </row>
    <row r="77" spans="1:4" ht="18" x14ac:dyDescent="0.35">
      <c r="A77" s="136" t="s">
        <v>656</v>
      </c>
    </row>
    <row r="79" spans="1:4" x14ac:dyDescent="0.3">
      <c r="A79" s="147" t="s">
        <v>381</v>
      </c>
      <c r="B79" s="159" t="s">
        <v>382</v>
      </c>
      <c r="C79" s="150" t="s">
        <v>383</v>
      </c>
    </row>
    <row r="80" spans="1:4" ht="28.8" x14ac:dyDescent="0.3">
      <c r="A80" s="151" t="s">
        <v>657</v>
      </c>
      <c r="B80" s="169" t="s">
        <v>658</v>
      </c>
      <c r="C80" s="154" t="s">
        <v>659</v>
      </c>
    </row>
    <row r="81" spans="1:4" ht="28.8" x14ac:dyDescent="0.3">
      <c r="A81" s="151" t="s">
        <v>660</v>
      </c>
      <c r="B81" s="169" t="s">
        <v>661</v>
      </c>
      <c r="C81" s="154" t="s">
        <v>662</v>
      </c>
    </row>
    <row r="82" spans="1:4" x14ac:dyDescent="0.3">
      <c r="A82" s="151" t="s">
        <v>663</v>
      </c>
      <c r="B82" s="169" t="s">
        <v>664</v>
      </c>
      <c r="C82" s="154" t="s">
        <v>665</v>
      </c>
    </row>
    <row r="83" spans="1:4" ht="28.8" x14ac:dyDescent="0.3">
      <c r="A83" s="155" t="s">
        <v>666</v>
      </c>
      <c r="B83" s="170" t="s">
        <v>667</v>
      </c>
      <c r="C83" s="158" t="s">
        <v>668</v>
      </c>
    </row>
    <row r="85" spans="1:4" x14ac:dyDescent="0.3">
      <c r="A85" s="15" t="s">
        <v>669</v>
      </c>
    </row>
    <row r="86" spans="1:4" ht="18" x14ac:dyDescent="0.35">
      <c r="A86" s="141" t="s">
        <v>670</v>
      </c>
    </row>
    <row r="87" spans="1:4" x14ac:dyDescent="0.3">
      <c r="A87" s="89" t="s">
        <v>671</v>
      </c>
    </row>
    <row r="89" spans="1:4" ht="15.6" x14ac:dyDescent="0.3">
      <c r="A89" s="140" t="s">
        <v>672</v>
      </c>
    </row>
    <row r="90" spans="1:4" x14ac:dyDescent="0.3">
      <c r="A90" s="75" t="s">
        <v>673</v>
      </c>
    </row>
    <row r="92" spans="1:4" x14ac:dyDescent="0.3">
      <c r="A92" s="147" t="s">
        <v>674</v>
      </c>
      <c r="B92" s="159" t="s">
        <v>578</v>
      </c>
      <c r="C92" s="166" t="s">
        <v>675</v>
      </c>
      <c r="D92" s="150" t="s">
        <v>676</v>
      </c>
    </row>
    <row r="93" spans="1:4" ht="28.8" x14ac:dyDescent="0.3">
      <c r="A93" s="151" t="s">
        <v>677</v>
      </c>
      <c r="B93" s="169" t="s">
        <v>678</v>
      </c>
      <c r="C93" s="167" t="s">
        <v>679</v>
      </c>
      <c r="D93" s="154" t="s">
        <v>680</v>
      </c>
    </row>
    <row r="94" spans="1:4" x14ac:dyDescent="0.3">
      <c r="A94" s="151" t="s">
        <v>681</v>
      </c>
      <c r="B94" s="169" t="s">
        <v>682</v>
      </c>
      <c r="C94" s="167" t="s">
        <v>683</v>
      </c>
      <c r="D94" s="154" t="s">
        <v>684</v>
      </c>
    </row>
    <row r="95" spans="1:4" x14ac:dyDescent="0.3">
      <c r="A95" s="155" t="s">
        <v>685</v>
      </c>
      <c r="B95" s="170" t="s">
        <v>686</v>
      </c>
      <c r="C95" s="168" t="s">
        <v>687</v>
      </c>
      <c r="D95" s="158" t="s">
        <v>688</v>
      </c>
    </row>
    <row r="97" spans="1:4" x14ac:dyDescent="0.3">
      <c r="A97" s="89" t="s">
        <v>689</v>
      </c>
    </row>
    <row r="99" spans="1:4" x14ac:dyDescent="0.3">
      <c r="A99" s="90" t="s">
        <v>690</v>
      </c>
    </row>
    <row r="100" spans="1:4" x14ac:dyDescent="0.3">
      <c r="A100" t="s">
        <v>691</v>
      </c>
    </row>
    <row r="101" spans="1:4" x14ac:dyDescent="0.3">
      <c r="A101" t="s">
        <v>692</v>
      </c>
    </row>
    <row r="102" spans="1:4" x14ac:dyDescent="0.3">
      <c r="A102" s="15" t="s">
        <v>693</v>
      </c>
    </row>
    <row r="104" spans="1:4" ht="15.6" x14ac:dyDescent="0.3">
      <c r="A104" s="140" t="s">
        <v>694</v>
      </c>
    </row>
    <row r="105" spans="1:4" x14ac:dyDescent="0.3">
      <c r="A105" s="15" t="s">
        <v>695</v>
      </c>
    </row>
    <row r="107" spans="1:4" x14ac:dyDescent="0.3">
      <c r="A107" s="147" t="s">
        <v>696</v>
      </c>
      <c r="B107" s="166" t="s">
        <v>697</v>
      </c>
      <c r="C107" s="149" t="s">
        <v>698</v>
      </c>
      <c r="D107" s="150" t="s">
        <v>699</v>
      </c>
    </row>
    <row r="108" spans="1:4" ht="28.8" x14ac:dyDescent="0.3">
      <c r="A108" s="151" t="s">
        <v>700</v>
      </c>
      <c r="B108" s="167" t="s">
        <v>701</v>
      </c>
      <c r="C108" s="171">
        <v>1</v>
      </c>
      <c r="D108" s="154" t="s">
        <v>702</v>
      </c>
    </row>
    <row r="109" spans="1:4" ht="28.8" x14ac:dyDescent="0.3">
      <c r="A109" s="151" t="s">
        <v>703</v>
      </c>
      <c r="B109" s="167" t="s">
        <v>704</v>
      </c>
      <c r="C109" s="172" t="s">
        <v>705</v>
      </c>
      <c r="D109" s="154" t="s">
        <v>706</v>
      </c>
    </row>
    <row r="110" spans="1:4" ht="28.8" x14ac:dyDescent="0.3">
      <c r="A110" s="155" t="s">
        <v>707</v>
      </c>
      <c r="B110" s="168" t="s">
        <v>708</v>
      </c>
      <c r="C110" s="173" t="s">
        <v>709</v>
      </c>
      <c r="D110" s="158" t="s">
        <v>710</v>
      </c>
    </row>
    <row r="112" spans="1:4" x14ac:dyDescent="0.3">
      <c r="A112" s="15" t="s">
        <v>711</v>
      </c>
    </row>
    <row r="113" spans="1:3" x14ac:dyDescent="0.3">
      <c r="A113" s="75" t="s">
        <v>712</v>
      </c>
    </row>
    <row r="115" spans="1:3" ht="15.6" x14ac:dyDescent="0.3">
      <c r="A115" s="140" t="s">
        <v>713</v>
      </c>
    </row>
    <row r="116" spans="1:3" x14ac:dyDescent="0.3">
      <c r="A116" s="75" t="s">
        <v>714</v>
      </c>
    </row>
    <row r="118" spans="1:3" x14ac:dyDescent="0.3">
      <c r="A118" s="174" t="s">
        <v>715</v>
      </c>
      <c r="B118" s="175"/>
      <c r="C118" s="176" t="s">
        <v>716</v>
      </c>
    </row>
    <row r="119" spans="1:3" ht="28.8" x14ac:dyDescent="0.3">
      <c r="A119" s="177" t="s">
        <v>717</v>
      </c>
      <c r="B119" s="167"/>
      <c r="C119" s="154" t="s">
        <v>718</v>
      </c>
    </row>
    <row r="120" spans="1:3" ht="28.8" x14ac:dyDescent="0.3">
      <c r="A120" s="177" t="s">
        <v>719</v>
      </c>
      <c r="B120" s="167"/>
      <c r="C120" s="154" t="s">
        <v>720</v>
      </c>
    </row>
    <row r="121" spans="1:3" ht="28.8" x14ac:dyDescent="0.3">
      <c r="A121" s="177" t="s">
        <v>721</v>
      </c>
      <c r="B121" s="167"/>
      <c r="C121" s="154" t="s">
        <v>722</v>
      </c>
    </row>
    <row r="122" spans="1:3" ht="28.8" x14ac:dyDescent="0.3">
      <c r="A122" s="177" t="s">
        <v>723</v>
      </c>
      <c r="B122" s="167"/>
      <c r="C122" s="154" t="s">
        <v>724</v>
      </c>
    </row>
    <row r="123" spans="1:3" ht="28.8" x14ac:dyDescent="0.3">
      <c r="A123" s="177" t="s">
        <v>725</v>
      </c>
      <c r="B123" s="167"/>
      <c r="C123" s="154" t="s">
        <v>726</v>
      </c>
    </row>
    <row r="124" spans="1:3" ht="28.8" x14ac:dyDescent="0.3">
      <c r="A124" s="178" t="s">
        <v>727</v>
      </c>
      <c r="B124" s="168"/>
      <c r="C124" s="158" t="s">
        <v>728</v>
      </c>
    </row>
    <row r="126" spans="1:3" x14ac:dyDescent="0.3">
      <c r="A126" s="15" t="s">
        <v>729</v>
      </c>
    </row>
    <row r="127" spans="1:3" x14ac:dyDescent="0.3">
      <c r="A127" s="15" t="s">
        <v>730</v>
      </c>
    </row>
    <row r="128" spans="1:3" x14ac:dyDescent="0.3">
      <c r="A128" s="15" t="s">
        <v>731</v>
      </c>
    </row>
    <row r="130" spans="1:1" ht="15.6" x14ac:dyDescent="0.3">
      <c r="A130" s="145" t="s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J-M-FW Diagnostic</vt:lpstr>
      <vt:lpstr>Scenario Scorer</vt:lpstr>
      <vt:lpstr>Reciprocity Test</vt:lpstr>
      <vt:lpstr>Coherence Index</vt:lpstr>
      <vt:lpstr>Historical χ Scorer</vt:lpstr>
      <vt:lpstr>Convergence Map</vt:lpstr>
      <vt:lpstr>5-Variable Instrument</vt:lpstr>
      <vt:lpstr>Historical Baseline</vt:lpstr>
      <vt:lpstr>α Resolver</vt:lpstr>
      <vt:lpstr>Canonical Equations</vt:lpstr>
      <vt:lpstr>Impossibility Proof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Lowe</dc:creator>
  <cp:lastModifiedBy>David Lowe</cp:lastModifiedBy>
  <dcterms:created xsi:type="dcterms:W3CDTF">2026-07-08T05:34:52Z</dcterms:created>
  <dcterms:modified xsi:type="dcterms:W3CDTF">2026-07-15T15:53:45Z</dcterms:modified>
</cp:coreProperties>
</file>